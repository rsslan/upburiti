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21AB1958-153C-4430-95A2-F4FA54BA7E31}" xr6:coauthVersionLast="47" xr6:coauthVersionMax="47" xr10:uidLastSave="{00000000-0000-0000-0000-000000000000}"/>
  <bookViews>
    <workbookView xWindow="-108" yWindow="-108" windowWidth="23256" windowHeight="13896" xr2:uid="{7EB965E4-CD38-43F5-AB1D-C85E27C9787B}"/>
  </bookViews>
  <sheets>
    <sheet name="plan1" sheetId="4" r:id="rId1"/>
  </sheets>
  <definedNames>
    <definedName name="_xlnm._FilterDatabase" localSheetId="0" hidden="1">plan1!#REF!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E2" i="4"/>
  <c r="E3" i="4" s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C25" i="4" l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D35" i="4"/>
  <c r="E35" i="4" s="1"/>
  <c r="C36" i="4" l="1"/>
</calcChain>
</file>

<file path=xl/sharedStrings.xml><?xml version="1.0" encoding="utf-8"?>
<sst xmlns="http://schemas.openxmlformats.org/spreadsheetml/2006/main" count="7" uniqueCount="7">
  <si>
    <t>Executado Mensal</t>
  </si>
  <si>
    <t>Executado Acumulado</t>
  </si>
  <si>
    <t>BASE LINE Mensal</t>
  </si>
  <si>
    <t>BASE LINE Acumulado</t>
  </si>
  <si>
    <t>Mês Referencia</t>
  </si>
  <si>
    <t>PROJETADO Mensal</t>
  </si>
  <si>
    <t>PROJETADO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</si>
</sst>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mmm\-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2" borderId="0" xfId="0" applyFont="1" applyFill="1" applyAlignment="1" applyProtection="1">
      <alignment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39" fontId="4" fillId="2" borderId="0" xfId="0" applyNumberFormat="1" applyFont="1" applyFill="1" applyAlignment="1" applyProtection="1">
      <alignment horizontal="center"/>
      <protection hidden="1"/>
    </xf>
    <xf numFmtId="2" fontId="0" fillId="0" borderId="0" xfId="0" applyNumberFormat="1"/>
    <xf numFmtId="0" fontId="5" fillId="0" borderId="0" xfId="0" applyFont="1"/>
  </cellXfs>
  <cellStyles count="3">
    <cellStyle name="Normal" xfId="0" builtinId="0"/>
    <cellStyle name="Normal 2" xfId="1" xr:uid="{A86E54F2-FC31-4467-9730-16791895D72B}"/>
    <cellStyle name="Vírgula 18" xfId="2" xr:uid="{C7E321BF-614E-42DA-AC59-31A5A572D2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CFF3-25C9-4D6F-87D1-1DB00D11773E}">
  <sheetPr>
    <outlinePr summaryRight="0"/>
  </sheetPr>
  <dimension ref="A1:N51"/>
  <sheetViews>
    <sheetView showGridLines="0" tabSelected="1" zoomScale="55" zoomScaleNormal="55" workbookViewId="0">
      <pane ySplit="1" topLeftCell="A2" activePane="bottomLeft" state="frozen"/>
      <selection activeCell="M46" sqref="M46"/>
      <selection pane="bottomLeft" activeCell="B26" sqref="B26"/>
    </sheetView>
  </sheetViews>
  <sheetFormatPr defaultRowHeight="14.4" x14ac:dyDescent="0.3"/>
  <cols>
    <col min="1" max="1" width="19.109375" bestFit="1" customWidth="1"/>
    <col min="2" max="2" width="22.5546875" bestFit="1" customWidth="1"/>
    <col min="3" max="3" width="27.33203125" bestFit="1" customWidth="1"/>
    <col min="4" max="4" width="21.109375" bestFit="1" customWidth="1"/>
    <col min="5" max="5" width="25.109375" customWidth="1"/>
    <col min="6" max="6" width="22.5546875" bestFit="1" customWidth="1"/>
    <col min="7" max="7" width="27.33203125" bestFit="1" customWidth="1"/>
    <col min="8" max="11" width="10.88671875" customWidth="1"/>
    <col min="13" max="13" width="9.21875" bestFit="1" customWidth="1"/>
    <col min="14" max="14" width="11.21875" bestFit="1" customWidth="1"/>
  </cols>
  <sheetData>
    <row r="1" spans="1:11" x14ac:dyDescent="0.3">
      <c r="A1" s="1" t="s">
        <v>4</v>
      </c>
      <c r="B1" s="3" t="s">
        <v>0</v>
      </c>
      <c r="C1" s="3" t="s">
        <v>1</v>
      </c>
      <c r="D1" s="4" t="s">
        <v>5</v>
      </c>
      <c r="E1" s="4" t="s">
        <v>6</v>
      </c>
      <c r="F1" s="4" t="s">
        <v>2</v>
      </c>
      <c r="G1" s="4" t="s">
        <v>3</v>
      </c>
    </row>
    <row r="2" spans="1:11" x14ac:dyDescent="0.3">
      <c r="A2" s="2">
        <v>45443</v>
      </c>
      <c r="B2" s="5">
        <v>2.3385346208883879</v>
      </c>
      <c r="C2" s="5">
        <v>2.3385346208883879</v>
      </c>
      <c r="D2" s="5">
        <v>2.3385346208883879</v>
      </c>
      <c r="E2" s="5">
        <f>D2</f>
        <v>2.3385346208883879</v>
      </c>
      <c r="F2" s="5">
        <v>2.3385346208883884</v>
      </c>
      <c r="G2" s="5">
        <v>2.3385346208883884</v>
      </c>
      <c r="H2" s="5"/>
      <c r="I2" s="5"/>
      <c r="J2" s="2"/>
      <c r="K2" s="5"/>
    </row>
    <row r="3" spans="1:11" x14ac:dyDescent="0.3">
      <c r="A3" s="2">
        <v>45473</v>
      </c>
      <c r="B3" s="5">
        <v>1.7922060125467878</v>
      </c>
      <c r="C3" s="5">
        <f>B3+C2</f>
        <v>4.1307406334351757</v>
      </c>
      <c r="D3" s="5">
        <v>1.7922060125467878</v>
      </c>
      <c r="E3" s="5">
        <f>D3+E2</f>
        <v>4.1307406334351757</v>
      </c>
      <c r="F3" s="5">
        <v>3.0246596978770421</v>
      </c>
      <c r="G3" s="5">
        <v>5.3631943187654301</v>
      </c>
      <c r="H3" s="5"/>
      <c r="I3" s="5"/>
      <c r="J3" s="2"/>
      <c r="K3" s="5"/>
    </row>
    <row r="4" spans="1:11" x14ac:dyDescent="0.3">
      <c r="A4" s="2">
        <v>45504</v>
      </c>
      <c r="B4" s="5">
        <v>4.6928825439661992</v>
      </c>
      <c r="C4" s="5">
        <f t="shared" ref="C4:C36" si="0">B4+C3</f>
        <v>8.8236231774013749</v>
      </c>
      <c r="D4" s="5">
        <v>4.6928825439661992</v>
      </c>
      <c r="E4" s="5">
        <f t="shared" ref="E4:E35" si="1">D4+E3</f>
        <v>8.8236231774013749</v>
      </c>
      <c r="F4" s="5">
        <v>3.5958952533538131</v>
      </c>
      <c r="G4" s="5">
        <v>8.9590895721192432</v>
      </c>
      <c r="H4" s="5"/>
      <c r="I4" s="5"/>
      <c r="J4" s="2"/>
      <c r="K4" s="5"/>
    </row>
    <row r="5" spans="1:11" x14ac:dyDescent="0.3">
      <c r="A5" s="2">
        <v>45535</v>
      </c>
      <c r="B5" s="5">
        <v>0.84391731779571089</v>
      </c>
      <c r="C5" s="5">
        <f t="shared" si="0"/>
        <v>9.6675404951970858</v>
      </c>
      <c r="D5" s="5">
        <v>0.84391731779571089</v>
      </c>
      <c r="E5" s="5">
        <f t="shared" si="1"/>
        <v>9.6675404951970858</v>
      </c>
      <c r="F5" s="5">
        <v>1.6750666177803561</v>
      </c>
      <c r="G5" s="5">
        <v>10.634156189899599</v>
      </c>
      <c r="H5" s="5"/>
      <c r="I5" s="5"/>
      <c r="J5" s="2"/>
      <c r="K5" s="5"/>
    </row>
    <row r="6" spans="1:11" x14ac:dyDescent="0.3">
      <c r="A6" s="2">
        <v>45565</v>
      </c>
      <c r="B6" s="5">
        <v>1.8166941785119783</v>
      </c>
      <c r="C6" s="5">
        <f t="shared" si="0"/>
        <v>11.484234673709064</v>
      </c>
      <c r="D6" s="5">
        <v>1.8166941785119783</v>
      </c>
      <c r="E6" s="5">
        <f t="shared" si="1"/>
        <v>11.484234673709064</v>
      </c>
      <c r="F6" s="5">
        <v>1.5899486989780576</v>
      </c>
      <c r="G6" s="5">
        <v>12.224104888877656</v>
      </c>
      <c r="H6" s="5"/>
      <c r="I6" s="5"/>
      <c r="J6" s="2"/>
      <c r="K6" s="5"/>
    </row>
    <row r="7" spans="1:11" x14ac:dyDescent="0.3">
      <c r="A7" s="2">
        <v>45596</v>
      </c>
      <c r="B7" s="5">
        <v>3.2369365414175868</v>
      </c>
      <c r="C7" s="5">
        <f t="shared" si="0"/>
        <v>14.721171215126651</v>
      </c>
      <c r="D7" s="5">
        <v>3.2369365414175868</v>
      </c>
      <c r="E7" s="5">
        <f t="shared" si="1"/>
        <v>14.721171215126651</v>
      </c>
      <c r="F7" s="5">
        <v>3.3812527357770095</v>
      </c>
      <c r="G7" s="5">
        <v>15.605357624654665</v>
      </c>
      <c r="H7" s="5"/>
      <c r="I7" s="5"/>
      <c r="J7" s="2"/>
      <c r="K7" s="5"/>
    </row>
    <row r="8" spans="1:11" x14ac:dyDescent="0.3">
      <c r="A8" s="2">
        <v>45626</v>
      </c>
      <c r="B8" s="5">
        <v>1.9792928116452535</v>
      </c>
      <c r="C8" s="5">
        <f t="shared" si="0"/>
        <v>16.700464026771904</v>
      </c>
      <c r="D8" s="5">
        <v>1.9792928116452535</v>
      </c>
      <c r="E8" s="5">
        <f t="shared" si="1"/>
        <v>16.700464026771904</v>
      </c>
      <c r="F8" s="5">
        <v>3.0922194292461942</v>
      </c>
      <c r="G8" s="5">
        <v>18.697577053900858</v>
      </c>
      <c r="H8" s="5"/>
      <c r="I8" s="5"/>
      <c r="J8" s="2"/>
      <c r="K8" s="5"/>
    </row>
    <row r="9" spans="1:11" x14ac:dyDescent="0.3">
      <c r="A9" s="2">
        <v>45657</v>
      </c>
      <c r="B9" s="5">
        <v>2.212093303573841</v>
      </c>
      <c r="C9" s="5">
        <f t="shared" si="0"/>
        <v>18.912557330345745</v>
      </c>
      <c r="D9" s="5">
        <v>2.212093303573841</v>
      </c>
      <c r="E9" s="5">
        <f t="shared" si="1"/>
        <v>18.912557330345745</v>
      </c>
      <c r="F9" s="5">
        <v>1.7776534371598358</v>
      </c>
      <c r="G9" s="5">
        <v>20.475230491060692</v>
      </c>
      <c r="H9" s="5"/>
      <c r="I9" s="5"/>
      <c r="J9" s="2"/>
      <c r="K9" s="5"/>
    </row>
    <row r="10" spans="1:11" x14ac:dyDescent="0.3">
      <c r="A10" s="2">
        <v>45688</v>
      </c>
      <c r="B10" s="5">
        <v>0.84760536264187913</v>
      </c>
      <c r="C10" s="5">
        <f t="shared" si="0"/>
        <v>19.760162692987624</v>
      </c>
      <c r="D10" s="5">
        <v>0.84760536264187913</v>
      </c>
      <c r="E10" s="5">
        <f t="shared" si="1"/>
        <v>19.760162692987624</v>
      </c>
      <c r="F10" s="5">
        <v>1.3984020866900639</v>
      </c>
      <c r="G10" s="5">
        <v>21.873632577750755</v>
      </c>
      <c r="H10" s="5"/>
      <c r="I10" s="5"/>
      <c r="J10" s="2"/>
      <c r="K10" s="5"/>
    </row>
    <row r="11" spans="1:11" x14ac:dyDescent="0.3">
      <c r="A11" s="2">
        <v>45716</v>
      </c>
      <c r="B11" s="5">
        <v>2.4736214338647833</v>
      </c>
      <c r="C11" s="5">
        <f t="shared" si="0"/>
        <v>22.233784126852406</v>
      </c>
      <c r="D11" s="5">
        <v>2.4736214338647833</v>
      </c>
      <c r="E11" s="5">
        <f t="shared" si="1"/>
        <v>22.233784126852406</v>
      </c>
      <c r="F11" s="5">
        <v>1.5477686496590006</v>
      </c>
      <c r="G11" s="5">
        <v>23.421401227409756</v>
      </c>
      <c r="H11" s="5"/>
      <c r="I11" s="5"/>
      <c r="J11" s="2"/>
      <c r="K11" s="5"/>
    </row>
    <row r="12" spans="1:11" x14ac:dyDescent="0.3">
      <c r="A12" s="2">
        <v>45747</v>
      </c>
      <c r="B12" s="5">
        <v>1.6810755311312398</v>
      </c>
      <c r="C12" s="5">
        <f t="shared" si="0"/>
        <v>23.914859657983644</v>
      </c>
      <c r="D12" s="5">
        <v>1.6810755311312398</v>
      </c>
      <c r="E12" s="5">
        <f t="shared" si="1"/>
        <v>23.914859657983644</v>
      </c>
      <c r="F12" s="5">
        <v>1.8125192327481896</v>
      </c>
      <c r="G12" s="5">
        <v>25.233920460157947</v>
      </c>
      <c r="H12" s="5"/>
      <c r="I12" s="5"/>
      <c r="J12" s="2"/>
      <c r="K12" s="5"/>
    </row>
    <row r="13" spans="1:11" x14ac:dyDescent="0.3">
      <c r="A13" s="2">
        <v>45777</v>
      </c>
      <c r="B13" s="5">
        <v>1.4809258636574463</v>
      </c>
      <c r="C13" s="5">
        <f t="shared" si="0"/>
        <v>25.395785521641091</v>
      </c>
      <c r="D13" s="5">
        <v>1.4809258636574463</v>
      </c>
      <c r="E13" s="5">
        <f t="shared" si="1"/>
        <v>25.395785521641091</v>
      </c>
      <c r="F13" s="5">
        <v>1.8481171994501371</v>
      </c>
      <c r="G13" s="5">
        <v>27.082037659608083</v>
      </c>
      <c r="H13" s="5"/>
      <c r="I13" s="5"/>
      <c r="J13" s="2"/>
      <c r="K13" s="5"/>
    </row>
    <row r="14" spans="1:11" x14ac:dyDescent="0.3">
      <c r="A14" s="2">
        <v>45808</v>
      </c>
      <c r="B14" s="5">
        <v>2.3095971561114297</v>
      </c>
      <c r="C14" s="5">
        <f t="shared" si="0"/>
        <v>27.705382677752521</v>
      </c>
      <c r="D14" s="5">
        <v>2.3095971561114297</v>
      </c>
      <c r="E14" s="5">
        <f t="shared" si="1"/>
        <v>27.705382677752521</v>
      </c>
      <c r="F14" s="5">
        <v>2.3423784838232562</v>
      </c>
      <c r="G14" s="5">
        <v>29.42441614343134</v>
      </c>
      <c r="H14" s="5"/>
      <c r="I14" s="5"/>
      <c r="J14" s="2"/>
      <c r="K14" s="5"/>
    </row>
    <row r="15" spans="1:11" x14ac:dyDescent="0.3">
      <c r="A15" s="2">
        <v>45838</v>
      </c>
      <c r="B15" s="5">
        <v>2.0040875312007502</v>
      </c>
      <c r="C15" s="5">
        <f t="shared" si="0"/>
        <v>29.70947020895327</v>
      </c>
      <c r="D15" s="5">
        <v>2.0040875312007502</v>
      </c>
      <c r="E15" s="5">
        <f t="shared" si="1"/>
        <v>29.70947020895327</v>
      </c>
      <c r="F15" s="5">
        <v>2.8805161219047886</v>
      </c>
      <c r="G15" s="5">
        <v>32.304932265336127</v>
      </c>
      <c r="H15" s="5"/>
      <c r="I15" s="5"/>
      <c r="J15" s="2"/>
      <c r="K15" s="5"/>
    </row>
    <row r="16" spans="1:11" x14ac:dyDescent="0.3">
      <c r="A16" s="2">
        <v>45869</v>
      </c>
      <c r="B16" s="5">
        <v>3.1092846907537366</v>
      </c>
      <c r="C16" s="5">
        <f t="shared" si="0"/>
        <v>32.81875489970701</v>
      </c>
      <c r="D16" s="5">
        <v>3.1092846907537366</v>
      </c>
      <c r="E16" s="5">
        <f t="shared" si="1"/>
        <v>32.81875489970701</v>
      </c>
      <c r="F16" s="5">
        <v>3.4226483063317157</v>
      </c>
      <c r="G16" s="5">
        <v>35.727580571667843</v>
      </c>
      <c r="H16" s="5"/>
      <c r="I16" s="5"/>
      <c r="J16" s="2"/>
      <c r="K16" s="5"/>
    </row>
    <row r="17" spans="1:14" x14ac:dyDescent="0.3">
      <c r="A17" s="2">
        <v>45900</v>
      </c>
      <c r="B17" s="5">
        <v>3.8997070997544254</v>
      </c>
      <c r="C17" s="5">
        <f t="shared" si="0"/>
        <v>36.718461999461432</v>
      </c>
      <c r="D17" s="5">
        <v>3.509947687440695</v>
      </c>
      <c r="E17" s="5">
        <f t="shared" si="1"/>
        <v>36.328702587147703</v>
      </c>
      <c r="F17" s="5">
        <v>4.1422734992749479</v>
      </c>
      <c r="G17" s="5">
        <v>39.869854070942793</v>
      </c>
      <c r="H17" s="5"/>
      <c r="I17" s="5"/>
      <c r="J17" s="2"/>
      <c r="K17" s="5"/>
    </row>
    <row r="18" spans="1:14" x14ac:dyDescent="0.3">
      <c r="A18" s="2">
        <v>45930</v>
      </c>
      <c r="B18" s="5">
        <v>3.2166928129309564</v>
      </c>
      <c r="C18" s="5">
        <f t="shared" si="0"/>
        <v>39.935154812392391</v>
      </c>
      <c r="D18" s="5">
        <v>3.9708178406997439</v>
      </c>
      <c r="E18" s="5">
        <f t="shared" si="1"/>
        <v>40.299520427847447</v>
      </c>
      <c r="F18" s="5">
        <v>5.63308679392967</v>
      </c>
      <c r="G18" s="5">
        <v>45.502940864872464</v>
      </c>
      <c r="H18" s="5"/>
      <c r="I18" s="5"/>
      <c r="J18" s="2"/>
      <c r="K18" s="5"/>
      <c r="M18" s="5"/>
      <c r="N18" s="5"/>
    </row>
    <row r="19" spans="1:14" x14ac:dyDescent="0.3">
      <c r="A19" s="2">
        <v>45961</v>
      </c>
      <c r="B19" s="5">
        <v>3.96</v>
      </c>
      <c r="C19" s="5">
        <f t="shared" si="0"/>
        <v>43.895154812392391</v>
      </c>
      <c r="D19" s="5">
        <v>4.8170642088951903</v>
      </c>
      <c r="E19" s="5">
        <f t="shared" si="1"/>
        <v>45.116584636742637</v>
      </c>
      <c r="F19" s="5">
        <v>5.1092762436617445</v>
      </c>
      <c r="G19" s="5">
        <v>50.61221710853421</v>
      </c>
      <c r="H19" s="5"/>
      <c r="I19" s="5"/>
      <c r="J19" s="2"/>
      <c r="K19" s="5"/>
      <c r="M19" s="5"/>
      <c r="N19" s="5"/>
    </row>
    <row r="20" spans="1:14" x14ac:dyDescent="0.3">
      <c r="A20" s="2">
        <v>45991</v>
      </c>
      <c r="B20" s="5">
        <v>3.23</v>
      </c>
      <c r="C20" s="5">
        <f t="shared" si="0"/>
        <v>47.125154812392388</v>
      </c>
      <c r="D20" s="5">
        <v>4.6556134674201459</v>
      </c>
      <c r="E20" s="5">
        <f t="shared" si="1"/>
        <v>49.772198104162783</v>
      </c>
      <c r="F20" s="5">
        <v>4.5380892563121309</v>
      </c>
      <c r="G20" s="5">
        <v>55.150306364846344</v>
      </c>
      <c r="H20" s="5"/>
      <c r="I20" s="5"/>
      <c r="J20" s="2"/>
      <c r="K20" s="5"/>
      <c r="M20" s="5"/>
      <c r="N20" s="5"/>
    </row>
    <row r="21" spans="1:14" x14ac:dyDescent="0.3">
      <c r="A21" s="2">
        <v>46022</v>
      </c>
      <c r="B21" s="5">
        <v>3.4045757197472946</v>
      </c>
      <c r="C21" s="5">
        <f t="shared" si="0"/>
        <v>50.529730532139681</v>
      </c>
      <c r="D21" s="5">
        <v>3.8851376089654672</v>
      </c>
      <c r="E21" s="5">
        <f t="shared" si="1"/>
        <v>53.657335713128248</v>
      </c>
      <c r="F21" s="5">
        <v>3.5976466863962524</v>
      </c>
      <c r="G21" s="5">
        <v>58.747953051242597</v>
      </c>
      <c r="H21" s="5"/>
      <c r="I21" s="5"/>
      <c r="J21" s="2"/>
      <c r="K21" s="5"/>
      <c r="M21" s="5"/>
      <c r="N21" s="5"/>
    </row>
    <row r="22" spans="1:14" x14ac:dyDescent="0.3">
      <c r="A22" s="2">
        <v>46053</v>
      </c>
      <c r="B22" s="5">
        <v>3.2615370929560115</v>
      </c>
      <c r="C22" s="5">
        <f t="shared" si="0"/>
        <v>53.791267625095692</v>
      </c>
      <c r="D22" s="5">
        <v>3.9478270496542609</v>
      </c>
      <c r="E22" s="5">
        <f t="shared" si="1"/>
        <v>57.605162762782506</v>
      </c>
      <c r="F22" s="5">
        <v>3.5580100480109325</v>
      </c>
      <c r="G22" s="5">
        <v>62.305963099253532</v>
      </c>
      <c r="H22" s="5"/>
      <c r="I22" s="5"/>
      <c r="J22" s="2"/>
      <c r="K22" s="5"/>
      <c r="M22" s="5"/>
      <c r="N22" s="5"/>
    </row>
    <row r="23" spans="1:14" x14ac:dyDescent="0.3">
      <c r="A23" s="2">
        <v>46081</v>
      </c>
      <c r="B23" s="5">
        <v>4.0145867210800787</v>
      </c>
      <c r="C23" s="5">
        <f t="shared" si="0"/>
        <v>57.805854346175771</v>
      </c>
      <c r="D23" s="5">
        <v>3.3733452549468526</v>
      </c>
      <c r="E23" s="5">
        <f t="shared" si="1"/>
        <v>60.978508017729361</v>
      </c>
      <c r="F23" s="5">
        <v>2.8556470703377617</v>
      </c>
      <c r="G23" s="5">
        <v>65.161610169591299</v>
      </c>
      <c r="H23" s="5"/>
      <c r="I23" s="5"/>
      <c r="J23" s="2"/>
      <c r="K23" s="5"/>
      <c r="M23" s="5"/>
      <c r="N23" s="5"/>
    </row>
    <row r="24" spans="1:14" x14ac:dyDescent="0.3">
      <c r="A24" s="2">
        <v>46112</v>
      </c>
      <c r="B24" s="5">
        <v>4.0777428669542379</v>
      </c>
      <c r="C24" s="5">
        <f t="shared" ref="C24:C34" si="2">B24+C23</f>
        <v>61.88359721313001</v>
      </c>
      <c r="D24" s="5">
        <v>4.353757511064825</v>
      </c>
      <c r="E24" s="5">
        <f t="shared" si="1"/>
        <v>65.332265528794181</v>
      </c>
      <c r="F24" s="5">
        <v>3.1646462918430709</v>
      </c>
      <c r="G24" s="5">
        <v>68.326256461434369</v>
      </c>
      <c r="H24" s="5"/>
      <c r="I24" s="5"/>
      <c r="J24" s="2"/>
      <c r="K24" s="5"/>
      <c r="M24" s="5"/>
      <c r="N24" s="5"/>
    </row>
    <row r="25" spans="1:14" x14ac:dyDescent="0.3">
      <c r="A25" s="2">
        <v>46142</v>
      </c>
      <c r="B25" s="5">
        <v>3.5014922950882301</v>
      </c>
      <c r="C25" s="5">
        <f t="shared" si="2"/>
        <v>65.385089508218243</v>
      </c>
      <c r="D25" s="5">
        <v>3.8541290585101118</v>
      </c>
      <c r="E25" s="5">
        <f t="shared" si="1"/>
        <v>69.186394587304292</v>
      </c>
      <c r="F25" s="5">
        <v>3.3298166037370702</v>
      </c>
      <c r="G25" s="5">
        <v>71.656073065171441</v>
      </c>
      <c r="H25" s="5"/>
      <c r="I25" s="5"/>
      <c r="J25" s="2"/>
      <c r="K25" s="5"/>
      <c r="M25" s="5"/>
      <c r="N25" s="5"/>
    </row>
    <row r="26" spans="1:14" x14ac:dyDescent="0.3">
      <c r="A26" s="2">
        <v>46173</v>
      </c>
      <c r="B26" s="5">
        <v>1.9800212112829598</v>
      </c>
      <c r="C26" s="5">
        <f t="shared" si="2"/>
        <v>67.365110719501203</v>
      </c>
      <c r="D26" s="5">
        <v>5.609521778535119</v>
      </c>
      <c r="E26" s="5">
        <f t="shared" si="1"/>
        <v>74.795916365839417</v>
      </c>
      <c r="F26" s="5">
        <v>3.5267914141085641</v>
      </c>
      <c r="G26" s="5">
        <v>75.182864479279999</v>
      </c>
      <c r="H26" s="5"/>
      <c r="I26" s="5"/>
      <c r="J26" s="2"/>
      <c r="K26" s="5"/>
      <c r="M26" s="5"/>
      <c r="N26" s="5"/>
    </row>
    <row r="27" spans="1:14" x14ac:dyDescent="0.3">
      <c r="A27" s="2">
        <v>46203</v>
      </c>
      <c r="B27" s="5">
        <v>3.8196937287186921</v>
      </c>
      <c r="C27" s="5">
        <f t="shared" si="2"/>
        <v>71.184804448219893</v>
      </c>
      <c r="D27" s="5">
        <v>3.6604000147033013</v>
      </c>
      <c r="E27" s="5">
        <f t="shared" si="1"/>
        <v>78.456316380542717</v>
      </c>
      <c r="F27" s="5">
        <v>3.0204388422418944</v>
      </c>
      <c r="G27" s="5">
        <v>78.203303321521901</v>
      </c>
      <c r="H27" s="5"/>
      <c r="I27" s="5"/>
      <c r="J27" s="2"/>
      <c r="K27" s="5"/>
      <c r="M27" s="5"/>
      <c r="N27" s="5"/>
    </row>
    <row r="28" spans="1:14" x14ac:dyDescent="0.3">
      <c r="A28" s="2">
        <v>46234</v>
      </c>
      <c r="B28" s="5">
        <v>7.0253553071711403</v>
      </c>
      <c r="C28" s="5">
        <f t="shared" si="2"/>
        <v>78.210159755391032</v>
      </c>
      <c r="D28" s="5">
        <v>4.7754104889294844</v>
      </c>
      <c r="E28" s="5">
        <f t="shared" si="1"/>
        <v>83.231726869472197</v>
      </c>
      <c r="F28" s="5">
        <v>2.7458016726283518</v>
      </c>
      <c r="G28" s="5">
        <v>80.949104994150247</v>
      </c>
      <c r="H28" s="5"/>
      <c r="I28" s="5"/>
      <c r="J28" s="2"/>
      <c r="K28" s="5"/>
      <c r="M28" s="5"/>
      <c r="N28" s="5"/>
    </row>
    <row r="29" spans="1:14" x14ac:dyDescent="0.3">
      <c r="A29" s="2">
        <v>46265</v>
      </c>
      <c r="B29" s="5">
        <v>6.9159248176517396</v>
      </c>
      <c r="C29" s="5">
        <f t="shared" si="2"/>
        <v>85.126084573042775</v>
      </c>
      <c r="D29" s="5">
        <v>4.6533975272671508</v>
      </c>
      <c r="E29" s="5">
        <f t="shared" si="1"/>
        <v>87.885124396739343</v>
      </c>
      <c r="F29" s="5">
        <v>2.1613953376857644</v>
      </c>
      <c r="G29" s="5">
        <v>83.110500331836008</v>
      </c>
      <c r="H29" s="5"/>
      <c r="I29" s="5"/>
      <c r="J29" s="2"/>
      <c r="K29" s="5"/>
      <c r="M29" s="5"/>
      <c r="N29" s="5"/>
    </row>
    <row r="30" spans="1:14" x14ac:dyDescent="0.3">
      <c r="A30" s="2">
        <v>46295</v>
      </c>
      <c r="B30" s="5">
        <v>4.2676820962505104</v>
      </c>
      <c r="C30" s="5">
        <f t="shared" si="2"/>
        <v>89.393766669293285</v>
      </c>
      <c r="D30" s="5">
        <v>4.7101274741177823</v>
      </c>
      <c r="E30" s="5">
        <f t="shared" si="1"/>
        <v>92.595251870857126</v>
      </c>
      <c r="F30" s="5">
        <v>1.8469254436169078</v>
      </c>
      <c r="G30" s="5">
        <v>84.957425775452919</v>
      </c>
      <c r="H30" s="5"/>
      <c r="I30" s="5"/>
      <c r="J30" s="2"/>
      <c r="K30" s="5"/>
      <c r="M30" s="5"/>
      <c r="N30" s="5"/>
    </row>
    <row r="31" spans="1:14" x14ac:dyDescent="0.3">
      <c r="A31" s="2">
        <v>46326</v>
      </c>
      <c r="B31" s="5">
        <v>5.075500183191985</v>
      </c>
      <c r="C31" s="5">
        <f t="shared" si="2"/>
        <v>94.469266852485276</v>
      </c>
      <c r="D31" s="5">
        <v>3.3851885105485091</v>
      </c>
      <c r="E31" s="5">
        <f t="shared" si="1"/>
        <v>95.980440381405629</v>
      </c>
      <c r="F31" s="5">
        <v>2.6268761782503001</v>
      </c>
      <c r="G31" s="5">
        <v>87.584301953703218</v>
      </c>
      <c r="H31" s="5"/>
      <c r="I31" s="5"/>
      <c r="J31" s="2"/>
      <c r="K31" s="5"/>
      <c r="M31" s="5"/>
      <c r="N31" s="5"/>
    </row>
    <row r="32" spans="1:14" x14ac:dyDescent="0.3">
      <c r="A32" s="2">
        <v>46356</v>
      </c>
      <c r="B32" s="5">
        <v>2.1194876526451707</v>
      </c>
      <c r="C32" s="5">
        <f t="shared" si="2"/>
        <v>96.588754505130453</v>
      </c>
      <c r="D32" s="5">
        <v>1.6260930386958057</v>
      </c>
      <c r="E32" s="5">
        <f t="shared" si="1"/>
        <v>97.606533420101428</v>
      </c>
      <c r="F32" s="5">
        <v>3.7271951322866972</v>
      </c>
      <c r="G32" s="5">
        <v>91.311497085989913</v>
      </c>
      <c r="H32" s="5"/>
      <c r="I32" s="5"/>
      <c r="J32" s="2"/>
      <c r="K32" s="5"/>
      <c r="M32" s="5"/>
      <c r="N32" s="5"/>
    </row>
    <row r="33" spans="1:14" x14ac:dyDescent="0.3">
      <c r="A33" s="2">
        <v>46387</v>
      </c>
      <c r="B33" s="5">
        <v>1.7573445713320122</v>
      </c>
      <c r="C33" s="5">
        <f t="shared" si="2"/>
        <v>98.346099076462465</v>
      </c>
      <c r="D33" s="5">
        <v>1.0526891974688515</v>
      </c>
      <c r="E33" s="5">
        <f t="shared" si="1"/>
        <v>98.659222617570279</v>
      </c>
      <c r="F33" s="5">
        <v>2.876747848987347</v>
      </c>
      <c r="G33" s="5">
        <v>94.188244934977263</v>
      </c>
      <c r="H33" s="5"/>
      <c r="I33" s="5"/>
      <c r="J33" s="2"/>
      <c r="K33" s="5"/>
      <c r="M33" s="5"/>
      <c r="N33" s="5"/>
    </row>
    <row r="34" spans="1:14" x14ac:dyDescent="0.3">
      <c r="A34" s="2">
        <v>46418</v>
      </c>
      <c r="B34" s="5">
        <v>1.5999422404766306</v>
      </c>
      <c r="C34" s="5">
        <f t="shared" si="2"/>
        <v>99.946041316939102</v>
      </c>
      <c r="D34" s="5">
        <v>1.0108646273378574</v>
      </c>
      <c r="E34" s="5">
        <f t="shared" si="1"/>
        <v>99.670087244908132</v>
      </c>
      <c r="F34" s="5">
        <v>3.1387481259877057</v>
      </c>
      <c r="G34" s="5">
        <v>97.326993060964966</v>
      </c>
      <c r="H34" s="5"/>
      <c r="I34" s="5"/>
      <c r="J34" s="2"/>
      <c r="K34" s="5"/>
      <c r="M34" s="5"/>
      <c r="N34" s="5"/>
    </row>
    <row r="35" spans="1:14" x14ac:dyDescent="0.3">
      <c r="A35" s="2">
        <v>46446</v>
      </c>
      <c r="B35" s="5">
        <v>5.3958683061537754E-2</v>
      </c>
      <c r="C35" s="5">
        <f>B35+C34</f>
        <v>100.00000000000064</v>
      </c>
      <c r="D35" s="5">
        <f>100-E34</f>
        <v>0.32991275509186835</v>
      </c>
      <c r="E35" s="5">
        <f t="shared" si="1"/>
        <v>100</v>
      </c>
      <c r="F35" s="5">
        <v>1.799190868588926</v>
      </c>
      <c r="G35" s="5">
        <v>99.126183929553889</v>
      </c>
      <c r="H35" s="5"/>
      <c r="I35" s="5"/>
      <c r="J35" s="2"/>
      <c r="K35" s="5"/>
      <c r="M35" s="5"/>
      <c r="N35" s="5"/>
    </row>
    <row r="36" spans="1:14" x14ac:dyDescent="0.3">
      <c r="A36" s="2">
        <v>46477</v>
      </c>
      <c r="B36" s="5">
        <v>0</v>
      </c>
      <c r="C36" s="5">
        <f t="shared" si="0"/>
        <v>100.00000000000064</v>
      </c>
      <c r="D36" s="5">
        <v>0</v>
      </c>
      <c r="E36" s="5">
        <v>100</v>
      </c>
      <c r="F36" s="5">
        <v>0.8738160704467165</v>
      </c>
      <c r="G36" s="5">
        <v>100.00000000000061</v>
      </c>
      <c r="J36" s="2"/>
      <c r="K36" s="5"/>
      <c r="M36" s="5"/>
      <c r="N36" s="5"/>
    </row>
    <row r="37" spans="1:14" x14ac:dyDescent="0.3">
      <c r="K37" s="5"/>
      <c r="M37" s="5"/>
      <c r="N37" s="5"/>
    </row>
    <row r="38" spans="1:14" x14ac:dyDescent="0.3">
      <c r="K38" s="5"/>
      <c r="M38" s="5"/>
      <c r="N38" s="5"/>
    </row>
    <row r="39" spans="1:14" x14ac:dyDescent="0.3">
      <c r="M39" s="5"/>
      <c r="N39" s="5"/>
    </row>
    <row r="40" spans="1:14" x14ac:dyDescent="0.3">
      <c r="M40" s="5"/>
      <c r="N40" s="5"/>
    </row>
    <row r="41" spans="1:14" x14ac:dyDescent="0.3">
      <c r="E41" s="6"/>
      <c r="M41" s="5"/>
      <c r="N41" s="5"/>
    </row>
    <row r="42" spans="1:14" x14ac:dyDescent="0.3">
      <c r="L42" s="5"/>
      <c r="M42" s="5"/>
      <c r="N42" s="5"/>
    </row>
    <row r="43" spans="1:14" x14ac:dyDescent="0.3">
      <c r="M43" s="5"/>
      <c r="N43" s="5"/>
    </row>
    <row r="44" spans="1:14" x14ac:dyDescent="0.3">
      <c r="M44" s="5"/>
      <c r="N44" s="5"/>
    </row>
    <row r="45" spans="1:14" x14ac:dyDescent="0.3">
      <c r="M45" s="5"/>
      <c r="N45" s="5"/>
    </row>
    <row r="46" spans="1:14" x14ac:dyDescent="0.3">
      <c r="M46" s="5"/>
      <c r="N46" s="5"/>
    </row>
    <row r="47" spans="1:14" x14ac:dyDescent="0.3">
      <c r="M47" s="5"/>
      <c r="N47" s="5"/>
    </row>
    <row r="48" spans="1:14" x14ac:dyDescent="0.3">
      <c r="M48" s="5"/>
      <c r="N48" s="5"/>
    </row>
    <row r="49" spans="13:14" x14ac:dyDescent="0.3">
      <c r="M49" s="5"/>
      <c r="N49" s="5"/>
    </row>
    <row r="50" spans="13:14" x14ac:dyDescent="0.3">
      <c r="M50" s="5"/>
      <c r="N50" s="5"/>
    </row>
    <row r="51" spans="13:14" x14ac:dyDescent="0.3">
      <c r="M51" s="5"/>
      <c r="N51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A9A36208A5B4AA3E00F236CB017CA" ma:contentTypeVersion="4" ma:contentTypeDescription="Crie um novo documento." ma:contentTypeScope="" ma:versionID="82545827fb752ba7757bc26eede0d32f">
  <xsd:schema xmlns:xsd="http://www.w3.org/2001/XMLSchema" xmlns:xs="http://www.w3.org/2001/XMLSchema" xmlns:p="http://schemas.microsoft.com/office/2006/metadata/properties" xmlns:ns2="d0424105-a063-48c1-bff7-c278edf1bbf4" targetNamespace="http://schemas.microsoft.com/office/2006/metadata/properties" ma:root="true" ma:fieldsID="300b5507c0a1c8faa7ef79fe86b62e4a" ns2:_="">
    <xsd:import namespace="d0424105-a063-48c1-bff7-c278edf1b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24105-a063-48c1-bff7-c278edf1bb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587604-DA3E-4313-9FC4-BBB4C884A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713E33-8478-4908-9D78-1EC1E27B5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424105-a063-48c1-bff7-c278edf1bb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7B3CB9-FAE3-4DD3-B62A-E97648FB88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contato</dc:creator>
  <cp:keywords/>
  <dc:description/>
  <cp:lastModifiedBy>Ramon Soares</cp:lastModifiedBy>
  <cp:revision/>
  <dcterms:created xsi:type="dcterms:W3CDTF">2025-06-02T01:49:53Z</dcterms:created>
  <dcterms:modified xsi:type="dcterms:W3CDTF">2026-06-01T18:08:04Z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0x0101000D4A9A36208A5B4AA3E00F236CB017CA</vt:lpwstr>
  </property>
</Properties>
</file>