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0" documentId="13_ncr:1_{131DB70F-07EE-46C2-A86D-343692F063CE}" xr6:coauthVersionLast="47" xr6:coauthVersionMax="47" xr10:uidLastSave="{00000000-0000-0000-0000-000000000000}"/>
  <bookViews>
    <workbookView xWindow="-108" yWindow="-108" windowWidth="23256" windowHeight="13896" xr2:uid="{ECBE0EBD-AF5F-4C5B-967D-6D79DF9A96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1" i="1" l="1"/>
  <c r="J2" i="1"/>
  <c r="I2" i="1"/>
  <c r="H2" i="1"/>
  <c r="L6" i="1"/>
  <c r="K6" i="1"/>
  <c r="H139" i="1"/>
  <c r="I13" i="1"/>
  <c r="H13" i="1"/>
  <c r="H25" i="1"/>
  <c r="H21" i="1"/>
  <c r="H27" i="1"/>
  <c r="D2" i="1"/>
  <c r="D13" i="1"/>
  <c r="D25" i="1"/>
  <c r="D21" i="1"/>
  <c r="D14" i="1"/>
  <c r="I206" i="1"/>
  <c r="H206" i="1"/>
  <c r="I139" i="1"/>
  <c r="I119" i="1"/>
  <c r="H119" i="1"/>
  <c r="I89" i="1"/>
  <c r="H89" i="1"/>
  <c r="H45" i="1"/>
  <c r="I73" i="1"/>
  <c r="H73" i="1"/>
  <c r="I45" i="1"/>
  <c r="I27" i="1"/>
  <c r="L208" i="1"/>
  <c r="L207" i="1"/>
  <c r="L205" i="1"/>
  <c r="L204" i="1"/>
  <c r="L203" i="1"/>
  <c r="L202" i="1"/>
  <c r="L200" i="1"/>
  <c r="L199" i="1"/>
  <c r="L198" i="1"/>
  <c r="L196" i="1"/>
  <c r="L195" i="1"/>
  <c r="L194" i="1"/>
  <c r="L193" i="1"/>
  <c r="L192" i="1"/>
  <c r="L191" i="1"/>
  <c r="L190" i="1"/>
  <c r="L189" i="1"/>
  <c r="L187" i="1"/>
  <c r="L186" i="1"/>
  <c r="L185" i="1"/>
  <c r="L183" i="1"/>
  <c r="L182" i="1"/>
  <c r="L181" i="1"/>
  <c r="L180" i="1"/>
  <c r="L179" i="1"/>
  <c r="L178" i="1"/>
  <c r="L176" i="1"/>
  <c r="L175" i="1"/>
  <c r="L174" i="1"/>
  <c r="L173" i="1"/>
  <c r="L172" i="1"/>
  <c r="L171" i="1"/>
  <c r="L170" i="1"/>
  <c r="L168" i="1"/>
  <c r="L167" i="1"/>
  <c r="L166" i="1"/>
  <c r="L165" i="1"/>
  <c r="L163" i="1"/>
  <c r="L162" i="1"/>
  <c r="L161" i="1"/>
  <c r="L160" i="1"/>
  <c r="L159" i="1"/>
  <c r="L158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38" i="1"/>
  <c r="L137" i="1"/>
  <c r="L135" i="1"/>
  <c r="L133" i="1"/>
  <c r="L131" i="1"/>
  <c r="L129" i="1"/>
  <c r="L128" i="1"/>
  <c r="L127" i="1"/>
  <c r="L126" i="1"/>
  <c r="L124" i="1"/>
  <c r="L123" i="1"/>
  <c r="L122" i="1"/>
  <c r="L121" i="1"/>
  <c r="L118" i="1"/>
  <c r="L117" i="1"/>
  <c r="L116" i="1"/>
  <c r="L115" i="1"/>
  <c r="L114" i="1"/>
  <c r="L113" i="1"/>
  <c r="L112" i="1"/>
  <c r="L111" i="1"/>
  <c r="L110" i="1"/>
  <c r="L109" i="1"/>
  <c r="L108" i="1"/>
  <c r="L106" i="1"/>
  <c r="L105" i="1"/>
  <c r="L104" i="1"/>
  <c r="L102" i="1"/>
  <c r="L101" i="1"/>
  <c r="L100" i="1"/>
  <c r="L98" i="1"/>
  <c r="L97" i="1"/>
  <c r="L96" i="1"/>
  <c r="L95" i="1"/>
  <c r="L94" i="1"/>
  <c r="L92" i="1"/>
  <c r="L91" i="1"/>
  <c r="L88" i="1"/>
  <c r="L87" i="1"/>
  <c r="L86" i="1"/>
  <c r="L85" i="1"/>
  <c r="L84" i="1"/>
  <c r="L83" i="1"/>
  <c r="L82" i="1"/>
  <c r="L81" i="1"/>
  <c r="L80" i="1"/>
  <c r="L79" i="1"/>
  <c r="L77" i="1"/>
  <c r="L76" i="1"/>
  <c r="L75" i="1"/>
  <c r="L72" i="1"/>
  <c r="L71" i="1"/>
  <c r="L69" i="1"/>
  <c r="L68" i="1"/>
  <c r="L67" i="1"/>
  <c r="L65" i="1"/>
  <c r="L64" i="1"/>
  <c r="L63" i="1"/>
  <c r="L62" i="1"/>
  <c r="L61" i="1"/>
  <c r="L60" i="1"/>
  <c r="L58" i="1"/>
  <c r="L57" i="1"/>
  <c r="L56" i="1"/>
  <c r="L55" i="1"/>
  <c r="L54" i="1"/>
  <c r="L52" i="1"/>
  <c r="L51" i="1"/>
  <c r="L49" i="1"/>
  <c r="L48" i="1"/>
  <c r="L47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6" i="1"/>
  <c r="L24" i="1"/>
  <c r="L23" i="1"/>
  <c r="L22" i="1"/>
  <c r="L20" i="1"/>
  <c r="L19" i="1"/>
  <c r="L18" i="1"/>
  <c r="L17" i="1"/>
  <c r="L16" i="1"/>
  <c r="L15" i="1"/>
  <c r="L4" i="1"/>
  <c r="L5" i="1"/>
  <c r="L7" i="1"/>
  <c r="L8" i="1"/>
  <c r="L9" i="1"/>
  <c r="L10" i="1"/>
  <c r="L11" i="1"/>
  <c r="L12" i="1"/>
  <c r="L3" i="1"/>
  <c r="J45" i="1"/>
  <c r="J73" i="1"/>
  <c r="J89" i="1"/>
  <c r="J119" i="1"/>
  <c r="J139" i="1"/>
  <c r="J206" i="1"/>
  <c r="D206" i="1"/>
  <c r="D139" i="1"/>
  <c r="D119" i="1"/>
  <c r="D89" i="1"/>
  <c r="D73" i="1"/>
  <c r="D45" i="1"/>
  <c r="D27" i="1"/>
  <c r="K209" i="1"/>
  <c r="C209" i="1"/>
  <c r="K156" i="1"/>
  <c r="K155" i="1"/>
  <c r="K102" i="1"/>
  <c r="K101" i="1"/>
  <c r="K100" i="1"/>
  <c r="K98" i="1"/>
  <c r="K97" i="1"/>
  <c r="K96" i="1"/>
  <c r="K95" i="1"/>
  <c r="K94" i="1"/>
  <c r="K92" i="1"/>
  <c r="K77" i="1"/>
  <c r="K76" i="1"/>
  <c r="K75" i="1"/>
  <c r="K58" i="1"/>
  <c r="K57" i="1"/>
  <c r="K56" i="1"/>
  <c r="K55" i="1"/>
  <c r="K54" i="1"/>
  <c r="K52" i="1"/>
  <c r="K51" i="1"/>
  <c r="K49" i="1"/>
  <c r="K48" i="1"/>
  <c r="K47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G4" i="1"/>
  <c r="K4" i="1" s="1"/>
  <c r="G5" i="1"/>
  <c r="K5" i="1" s="1"/>
  <c r="G6" i="1"/>
  <c r="G7" i="1"/>
  <c r="K7" i="1" s="1"/>
  <c r="G8" i="1"/>
  <c r="K8" i="1" s="1"/>
  <c r="G9" i="1"/>
  <c r="K9" i="1" s="1"/>
  <c r="G10" i="1"/>
  <c r="K10" i="1" s="1"/>
  <c r="G11" i="1"/>
  <c r="G12" i="1"/>
  <c r="K12" i="1" s="1"/>
  <c r="G15" i="1"/>
  <c r="K15" i="1" s="1"/>
  <c r="K13" i="1" s="1"/>
  <c r="G16" i="1"/>
  <c r="K16" i="1" s="1"/>
  <c r="G17" i="1"/>
  <c r="K17" i="1" s="1"/>
  <c r="G18" i="1"/>
  <c r="K18" i="1" s="1"/>
  <c r="G19" i="1"/>
  <c r="K19" i="1" s="1"/>
  <c r="G20" i="1"/>
  <c r="K20" i="1" s="1"/>
  <c r="G22" i="1"/>
  <c r="K22" i="1" s="1"/>
  <c r="G23" i="1"/>
  <c r="K23" i="1" s="1"/>
  <c r="G24" i="1"/>
  <c r="K24" i="1" s="1"/>
  <c r="G26" i="1"/>
  <c r="K26" i="1" s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7" i="1"/>
  <c r="G48" i="1"/>
  <c r="G49" i="1"/>
  <c r="G51" i="1"/>
  <c r="G52" i="1"/>
  <c r="G54" i="1"/>
  <c r="G55" i="1"/>
  <c r="G56" i="1"/>
  <c r="G57" i="1"/>
  <c r="G58" i="1"/>
  <c r="G60" i="1"/>
  <c r="K60" i="1" s="1"/>
  <c r="G61" i="1"/>
  <c r="K61" i="1" s="1"/>
  <c r="G62" i="1"/>
  <c r="K62" i="1" s="1"/>
  <c r="G63" i="1"/>
  <c r="K63" i="1" s="1"/>
  <c r="G64" i="1"/>
  <c r="K64" i="1" s="1"/>
  <c r="G65" i="1"/>
  <c r="K65" i="1" s="1"/>
  <c r="G67" i="1"/>
  <c r="K67" i="1" s="1"/>
  <c r="G68" i="1"/>
  <c r="K68" i="1" s="1"/>
  <c r="G69" i="1"/>
  <c r="K69" i="1" s="1"/>
  <c r="G70" i="1"/>
  <c r="G71" i="1"/>
  <c r="K71" i="1" s="1"/>
  <c r="G72" i="1"/>
  <c r="K72" i="1" s="1"/>
  <c r="G79" i="1"/>
  <c r="K79" i="1" s="1"/>
  <c r="K73" i="1" s="1"/>
  <c r="G80" i="1"/>
  <c r="K80" i="1" s="1"/>
  <c r="G81" i="1"/>
  <c r="K81" i="1" s="1"/>
  <c r="G82" i="1"/>
  <c r="K82" i="1" s="1"/>
  <c r="G83" i="1"/>
  <c r="K83" i="1" s="1"/>
  <c r="G84" i="1"/>
  <c r="K84" i="1" s="1"/>
  <c r="G85" i="1"/>
  <c r="K85" i="1" s="1"/>
  <c r="G86" i="1"/>
  <c r="K86" i="1" s="1"/>
  <c r="G87" i="1"/>
  <c r="K87" i="1" s="1"/>
  <c r="G88" i="1"/>
  <c r="K88" i="1" s="1"/>
  <c r="G91" i="1"/>
  <c r="K91" i="1" s="1"/>
  <c r="G92" i="1"/>
  <c r="G94" i="1"/>
  <c r="G95" i="1"/>
  <c r="G96" i="1"/>
  <c r="G97" i="1"/>
  <c r="G98" i="1"/>
  <c r="G100" i="1"/>
  <c r="G101" i="1"/>
  <c r="G102" i="1"/>
  <c r="G104" i="1"/>
  <c r="K104" i="1" s="1"/>
  <c r="G105" i="1"/>
  <c r="K105" i="1" s="1"/>
  <c r="G106" i="1"/>
  <c r="K106" i="1" s="1"/>
  <c r="G108" i="1"/>
  <c r="K108" i="1" s="1"/>
  <c r="G109" i="1"/>
  <c r="K109" i="1" s="1"/>
  <c r="G110" i="1"/>
  <c r="K110" i="1" s="1"/>
  <c r="G111" i="1"/>
  <c r="K111" i="1" s="1"/>
  <c r="G112" i="1"/>
  <c r="K112" i="1" s="1"/>
  <c r="G113" i="1"/>
  <c r="K113" i="1" s="1"/>
  <c r="G114" i="1"/>
  <c r="K114" i="1" s="1"/>
  <c r="G115" i="1"/>
  <c r="K115" i="1" s="1"/>
  <c r="G116" i="1"/>
  <c r="K116" i="1" s="1"/>
  <c r="G117" i="1"/>
  <c r="K117" i="1" s="1"/>
  <c r="G118" i="1"/>
  <c r="K118" i="1" s="1"/>
  <c r="G121" i="1"/>
  <c r="K121" i="1" s="1"/>
  <c r="G122" i="1"/>
  <c r="K122" i="1" s="1"/>
  <c r="G123" i="1"/>
  <c r="K123" i="1" s="1"/>
  <c r="G124" i="1"/>
  <c r="K124" i="1" s="1"/>
  <c r="G126" i="1"/>
  <c r="K126" i="1" s="1"/>
  <c r="G127" i="1"/>
  <c r="K127" i="1" s="1"/>
  <c r="G128" i="1"/>
  <c r="K128" i="1" s="1"/>
  <c r="G129" i="1"/>
  <c r="K129" i="1" s="1"/>
  <c r="G131" i="1"/>
  <c r="K131" i="1" s="1"/>
  <c r="G133" i="1"/>
  <c r="K133" i="1" s="1"/>
  <c r="G135" i="1"/>
  <c r="K135" i="1" s="1"/>
  <c r="G137" i="1"/>
  <c r="K137" i="1" s="1"/>
  <c r="G138" i="1"/>
  <c r="K138" i="1" s="1"/>
  <c r="G141" i="1"/>
  <c r="K141" i="1" s="1"/>
  <c r="G142" i="1"/>
  <c r="K142" i="1" s="1"/>
  <c r="G143" i="1"/>
  <c r="K143" i="1" s="1"/>
  <c r="G144" i="1"/>
  <c r="K144" i="1" s="1"/>
  <c r="G145" i="1"/>
  <c r="K145" i="1" s="1"/>
  <c r="G146" i="1"/>
  <c r="K146" i="1" s="1"/>
  <c r="G147" i="1"/>
  <c r="K147" i="1" s="1"/>
  <c r="G148" i="1"/>
  <c r="K148" i="1" s="1"/>
  <c r="G149" i="1"/>
  <c r="K149" i="1" s="1"/>
  <c r="G150" i="1"/>
  <c r="K150" i="1" s="1"/>
  <c r="G151" i="1"/>
  <c r="K151" i="1" s="1"/>
  <c r="G152" i="1"/>
  <c r="K152" i="1" s="1"/>
  <c r="G153" i="1"/>
  <c r="K153" i="1" s="1"/>
  <c r="G154" i="1"/>
  <c r="K154" i="1" s="1"/>
  <c r="G155" i="1"/>
  <c r="G156" i="1"/>
  <c r="G158" i="1"/>
  <c r="K158" i="1" s="1"/>
  <c r="G159" i="1"/>
  <c r="K159" i="1" s="1"/>
  <c r="G160" i="1"/>
  <c r="K160" i="1" s="1"/>
  <c r="G161" i="1"/>
  <c r="K161" i="1" s="1"/>
  <c r="G162" i="1"/>
  <c r="K162" i="1" s="1"/>
  <c r="G163" i="1"/>
  <c r="K163" i="1" s="1"/>
  <c r="G165" i="1"/>
  <c r="K165" i="1" s="1"/>
  <c r="G166" i="1"/>
  <c r="K166" i="1" s="1"/>
  <c r="G167" i="1"/>
  <c r="K167" i="1" s="1"/>
  <c r="G168" i="1"/>
  <c r="K168" i="1" s="1"/>
  <c r="G169" i="1"/>
  <c r="G170" i="1"/>
  <c r="K170" i="1" s="1"/>
  <c r="G171" i="1"/>
  <c r="K171" i="1" s="1"/>
  <c r="G172" i="1"/>
  <c r="K172" i="1" s="1"/>
  <c r="G173" i="1"/>
  <c r="K173" i="1" s="1"/>
  <c r="G174" i="1"/>
  <c r="K174" i="1" s="1"/>
  <c r="G175" i="1"/>
  <c r="K175" i="1" s="1"/>
  <c r="G176" i="1"/>
  <c r="K176" i="1" s="1"/>
  <c r="G178" i="1"/>
  <c r="K178" i="1" s="1"/>
  <c r="G179" i="1"/>
  <c r="K179" i="1" s="1"/>
  <c r="G180" i="1"/>
  <c r="K180" i="1" s="1"/>
  <c r="G181" i="1"/>
  <c r="K181" i="1" s="1"/>
  <c r="G182" i="1"/>
  <c r="K182" i="1" s="1"/>
  <c r="G183" i="1"/>
  <c r="K183" i="1" s="1"/>
  <c r="G185" i="1"/>
  <c r="K185" i="1" s="1"/>
  <c r="G186" i="1"/>
  <c r="K186" i="1" s="1"/>
  <c r="G187" i="1"/>
  <c r="K187" i="1" s="1"/>
  <c r="G189" i="1"/>
  <c r="K189" i="1" s="1"/>
  <c r="G190" i="1"/>
  <c r="K190" i="1" s="1"/>
  <c r="G191" i="1"/>
  <c r="K191" i="1" s="1"/>
  <c r="G192" i="1"/>
  <c r="K192" i="1" s="1"/>
  <c r="G193" i="1"/>
  <c r="K193" i="1" s="1"/>
  <c r="G194" i="1"/>
  <c r="K194" i="1" s="1"/>
  <c r="G195" i="1"/>
  <c r="K195" i="1" s="1"/>
  <c r="G196" i="1"/>
  <c r="K196" i="1" s="1"/>
  <c r="G198" i="1"/>
  <c r="K198" i="1" s="1"/>
  <c r="G199" i="1"/>
  <c r="K199" i="1" s="1"/>
  <c r="G200" i="1"/>
  <c r="K200" i="1" s="1"/>
  <c r="G202" i="1"/>
  <c r="K202" i="1" s="1"/>
  <c r="G203" i="1"/>
  <c r="K203" i="1" s="1"/>
  <c r="G204" i="1"/>
  <c r="K204" i="1" s="1"/>
  <c r="G205" i="1"/>
  <c r="K205" i="1" s="1"/>
  <c r="G207" i="1"/>
  <c r="K207" i="1" s="1"/>
  <c r="G208" i="1"/>
  <c r="K208" i="1" s="1"/>
  <c r="G3" i="1"/>
  <c r="K3" i="1" s="1"/>
  <c r="K2" i="1" s="1"/>
  <c r="K45" i="1" l="1"/>
  <c r="K89" i="1"/>
  <c r="K119" i="1"/>
  <c r="K206" i="1"/>
  <c r="K139" i="1"/>
</calcChain>
</file>

<file path=xl/sharedStrings.xml><?xml version="1.0" encoding="utf-8"?>
<sst xmlns="http://schemas.openxmlformats.org/spreadsheetml/2006/main" count="585" uniqueCount="422">
  <si>
    <t>SERVIÇOS PRELIM E GERAIS</t>
  </si>
  <si>
    <t>INFRAESTRUTURA</t>
  </si>
  <si>
    <t>2.1</t>
  </si>
  <si>
    <t>2.2</t>
  </si>
  <si>
    <t>2.3</t>
  </si>
  <si>
    <t>SUPRAESTRUTURA</t>
  </si>
  <si>
    <t>PAREDES E PAINÉIS</t>
  </si>
  <si>
    <t>4.1</t>
  </si>
  <si>
    <t>4.3</t>
  </si>
  <si>
    <t>ESQUADRIAS DE ALUMINIO</t>
  </si>
  <si>
    <t>4.4</t>
  </si>
  <si>
    <t>ESQUADRIAS DE FERRO</t>
  </si>
  <si>
    <t>4.5</t>
  </si>
  <si>
    <t>ESQUADRIAS DE MADEIRA</t>
  </si>
  <si>
    <t>4.6</t>
  </si>
  <si>
    <t>FERRAGENS</t>
  </si>
  <si>
    <t>VIDROS</t>
  </si>
  <si>
    <t>5.2</t>
  </si>
  <si>
    <t>IMPERMEABILIZAÇÕES</t>
  </si>
  <si>
    <t>REVESTIMENTO</t>
  </si>
  <si>
    <t>6.1</t>
  </si>
  <si>
    <t>REVESTIMENTO INTERNO</t>
  </si>
  <si>
    <t>6.2</t>
  </si>
  <si>
    <t>AZULEJOS</t>
  </si>
  <si>
    <t>6.3</t>
  </si>
  <si>
    <t>REVESTIMENTO EXTERNO</t>
  </si>
  <si>
    <t>6.4</t>
  </si>
  <si>
    <t>FORRO</t>
  </si>
  <si>
    <t>6.5</t>
  </si>
  <si>
    <t>PINTURA</t>
  </si>
  <si>
    <t>PAVIMENTAÇÃO</t>
  </si>
  <si>
    <t>7.1</t>
  </si>
  <si>
    <t>CERÂMICA</t>
  </si>
  <si>
    <t>7.2</t>
  </si>
  <si>
    <t>7.3</t>
  </si>
  <si>
    <t>7.4</t>
  </si>
  <si>
    <t>7.5</t>
  </si>
  <si>
    <t>7.6</t>
  </si>
  <si>
    <t>INSTALAÇÕES ELÉTRICAS</t>
  </si>
  <si>
    <t>8.1</t>
  </si>
  <si>
    <t>8.2</t>
  </si>
  <si>
    <t>ÁGUA FRIA</t>
  </si>
  <si>
    <t>8.3</t>
  </si>
  <si>
    <t>GÁS</t>
  </si>
  <si>
    <t>8.4</t>
  </si>
  <si>
    <t>INCÊNDIO</t>
  </si>
  <si>
    <t>8.5</t>
  </si>
  <si>
    <t>ESGOTO E ÁGUAS PLUVIAIS</t>
  </si>
  <si>
    <t>8.6</t>
  </si>
  <si>
    <t>8.7</t>
  </si>
  <si>
    <t>APARELHOS</t>
  </si>
  <si>
    <t>8.8</t>
  </si>
  <si>
    <t>CLIMATIZAÇÃO</t>
  </si>
  <si>
    <t>8.9</t>
  </si>
  <si>
    <t>ESPECIAIS</t>
  </si>
  <si>
    <t>COMPLEMENTAÇÕES</t>
  </si>
  <si>
    <t>1.1</t>
  </si>
  <si>
    <t>Serviços Técnicos ( Projetos, Orçamento, Levantamentos, Topografia, Licenças e PCMAT)</t>
  </si>
  <si>
    <t>Unid</t>
  </si>
  <si>
    <t>1.2</t>
  </si>
  <si>
    <t>Instalações e Canteiros (Barracão, Cercamento e Placa de Obra)</t>
  </si>
  <si>
    <t>1.3</t>
  </si>
  <si>
    <t>Ligações Provisórias (água, Energia, Telefone e Esgoto)</t>
  </si>
  <si>
    <t>1.4</t>
  </si>
  <si>
    <t>Manutenção de Canteiro e Consumo</t>
  </si>
  <si>
    <t>Mês</t>
  </si>
  <si>
    <t>1.5</t>
  </si>
  <si>
    <t>Transporte, Máquinas e Equipamentos</t>
  </si>
  <si>
    <t>1.6</t>
  </si>
  <si>
    <t>Controle Tecnológico</t>
  </si>
  <si>
    <t>1.7</t>
  </si>
  <si>
    <t>Gestão de Resíduos</t>
  </si>
  <si>
    <t>1.8</t>
  </si>
  <si>
    <t>Gestão da Qualidade</t>
  </si>
  <si>
    <t>1.9</t>
  </si>
  <si>
    <t>Equipamentos de proteção coletivo</t>
  </si>
  <si>
    <t>1.10</t>
  </si>
  <si>
    <t>Administração Local</t>
  </si>
  <si>
    <t>Trabalho com Terra</t>
  </si>
  <si>
    <t>2.1.1</t>
  </si>
  <si>
    <t>Demolições</t>
  </si>
  <si>
    <t>2.1.2</t>
  </si>
  <si>
    <t>Limpeza de Terreno</t>
  </si>
  <si>
    <t>2.1.3</t>
  </si>
  <si>
    <t>Escavações Manuais</t>
  </si>
  <si>
    <t>2.1.4</t>
  </si>
  <si>
    <t>Escavações Mecânicas</t>
  </si>
  <si>
    <t>2.1.5</t>
  </si>
  <si>
    <t>Aterro e Apiloamento</t>
  </si>
  <si>
    <t>2.1.6</t>
  </si>
  <si>
    <t>Locação da Obra</t>
  </si>
  <si>
    <t>Fundaçoes e outros Serviços</t>
  </si>
  <si>
    <t>2.2.1</t>
  </si>
  <si>
    <t>Vigas Baldrames Armação</t>
  </si>
  <si>
    <t>2.2.2</t>
  </si>
  <si>
    <t>Vigas Baldrames Concreto</t>
  </si>
  <si>
    <t>Fundações Profundas (estacas)</t>
  </si>
  <si>
    <t>Conteções / Arrimos Especiais</t>
  </si>
  <si>
    <t>Cortina de Canaleta</t>
  </si>
  <si>
    <t>Etapa</t>
  </si>
  <si>
    <t>3.1</t>
  </si>
  <si>
    <t>Blocos de Coroamento e arranques (Forma, armadura e concreto) (junta B)</t>
  </si>
  <si>
    <t>3.2</t>
  </si>
  <si>
    <t>Blocos de Coroamento e arranques (junta A) Subsolo</t>
  </si>
  <si>
    <t>3.3</t>
  </si>
  <si>
    <t>Blocos de Coroamento e arranques (junta A) Reservatorio Inferior</t>
  </si>
  <si>
    <t>3.4</t>
  </si>
  <si>
    <t xml:space="preserve">Pilares (Forma, Armação e Concreto) (Junta B) </t>
  </si>
  <si>
    <t>3.5</t>
  </si>
  <si>
    <t xml:space="preserve">Pilares (Forma, Armação e Concreto) (Junta B Rampa) </t>
  </si>
  <si>
    <t>3.6</t>
  </si>
  <si>
    <t>Pilares (Junta A) (Subsolo)</t>
  </si>
  <si>
    <t>3.7</t>
  </si>
  <si>
    <t>Pilares  (Junta A) (Pilotis)</t>
  </si>
  <si>
    <t>3.8</t>
  </si>
  <si>
    <t>Pilares (Junta A) (Res. Enterrado)</t>
  </si>
  <si>
    <t>3.9</t>
  </si>
  <si>
    <t>Vigas (Junta B)</t>
  </si>
  <si>
    <t>3.10</t>
  </si>
  <si>
    <t>Vigas (Junta A)</t>
  </si>
  <si>
    <t>3.11</t>
  </si>
  <si>
    <t>Lajes (Junta B)</t>
  </si>
  <si>
    <t>3.12</t>
  </si>
  <si>
    <t>Lajes Terreo (Junta A)</t>
  </si>
  <si>
    <t>3.13</t>
  </si>
  <si>
    <t>Lajes (Junta A) (Pilotis)</t>
  </si>
  <si>
    <t>3.14</t>
  </si>
  <si>
    <t>Lajes (Junta A) (Tipo)</t>
  </si>
  <si>
    <t>3.15</t>
  </si>
  <si>
    <t>Pré-moldados</t>
  </si>
  <si>
    <t>3.16</t>
  </si>
  <si>
    <t>Bloco estrutural</t>
  </si>
  <si>
    <t>3.17</t>
  </si>
  <si>
    <t>Escoramento</t>
  </si>
  <si>
    <t>Alvenarias</t>
  </si>
  <si>
    <t>4.1.1</t>
  </si>
  <si>
    <t>Vergas e Contravergas de Concreto</t>
  </si>
  <si>
    <t>4.1.2</t>
  </si>
  <si>
    <t>Marcação de Alvenaria</t>
  </si>
  <si>
    <t>4.1.3</t>
  </si>
  <si>
    <t>Muro de Alvenaria de Tijolo</t>
  </si>
  <si>
    <t>4.3.1</t>
  </si>
  <si>
    <t>Esquadrias de alumínio - Janelas</t>
  </si>
  <si>
    <t>Apt</t>
  </si>
  <si>
    <t>4.3.2</t>
  </si>
  <si>
    <t>Esquadrias de alumínio - Portas (Terreo)</t>
  </si>
  <si>
    <t>Unid.</t>
  </si>
  <si>
    <t>4.4.1</t>
  </si>
  <si>
    <t>Grades e Portoes</t>
  </si>
  <si>
    <t>4.4.2</t>
  </si>
  <si>
    <t>Porta Corta Fogo</t>
  </si>
  <si>
    <t>4.4.3</t>
  </si>
  <si>
    <t>Corrimãos da escada</t>
  </si>
  <si>
    <t>4.4.4</t>
  </si>
  <si>
    <t>escada marinheiro</t>
  </si>
  <si>
    <t>4.4.5</t>
  </si>
  <si>
    <t>Alçapão reservatorio</t>
  </si>
  <si>
    <t>4.5.1</t>
  </si>
  <si>
    <t>Porta entrada 80x210cm</t>
  </si>
  <si>
    <t>4.5.2</t>
  </si>
  <si>
    <t>Porta 70x210cm</t>
  </si>
  <si>
    <t>4.5.3</t>
  </si>
  <si>
    <t>Porta 60x210cm</t>
  </si>
  <si>
    <t>Batentes</t>
  </si>
  <si>
    <t>Guarnições/Alizares</t>
  </si>
  <si>
    <t>Porta interna 90x210cm</t>
  </si>
  <si>
    <t>4.6.1</t>
  </si>
  <si>
    <t>Conj. Para porta social</t>
  </si>
  <si>
    <t>4.6.2</t>
  </si>
  <si>
    <t>Conj. Para porta interna</t>
  </si>
  <si>
    <t>Dobradiças</t>
  </si>
  <si>
    <t>Lisos</t>
  </si>
  <si>
    <t>Temperado/Laminado</t>
  </si>
  <si>
    <t>COBERTURAS E PROTEÇÕES</t>
  </si>
  <si>
    <t>5.1</t>
  </si>
  <si>
    <t>Telhas</t>
  </si>
  <si>
    <t>5.1.1</t>
  </si>
  <si>
    <t>Estrutura para telhado</t>
  </si>
  <si>
    <t>5.1.2</t>
  </si>
  <si>
    <t>5.1.3</t>
  </si>
  <si>
    <t>Calhas e rufos</t>
  </si>
  <si>
    <t>5.2.1</t>
  </si>
  <si>
    <t>Terraços e Coberturas</t>
  </si>
  <si>
    <t>5.2.2</t>
  </si>
  <si>
    <t>Caixa d`gua</t>
  </si>
  <si>
    <t>5.2.3</t>
  </si>
  <si>
    <t>Pisos subsolo</t>
  </si>
  <si>
    <t>5.2.4</t>
  </si>
  <si>
    <t>Paredes subsolo</t>
  </si>
  <si>
    <t>5.2.5</t>
  </si>
  <si>
    <t>Poço Elevador</t>
  </si>
  <si>
    <t>5.2.6</t>
  </si>
  <si>
    <t>Box banheiro</t>
  </si>
  <si>
    <t>5.2.7</t>
  </si>
  <si>
    <t>Impermeabilização de Baldrames</t>
  </si>
  <si>
    <t>5.2.8</t>
  </si>
  <si>
    <t>Piscina</t>
  </si>
  <si>
    <t>5.2.9</t>
  </si>
  <si>
    <t>Regularização para impermeabilização</t>
  </si>
  <si>
    <t>5.2.10</t>
  </si>
  <si>
    <t>Proteção Mecânica</t>
  </si>
  <si>
    <t>Paredes de Gesso</t>
  </si>
  <si>
    <t>apart.</t>
  </si>
  <si>
    <t>Gesso Acartonado para fechamento dos shats tecnicos dos Apts</t>
  </si>
  <si>
    <t>6.2.1</t>
  </si>
  <si>
    <t>Chapisco</t>
  </si>
  <si>
    <t>6.2.2</t>
  </si>
  <si>
    <t>Emboço</t>
  </si>
  <si>
    <t>6.2.3</t>
  </si>
  <si>
    <t>Azulejo Branco</t>
  </si>
  <si>
    <t>6.2.4</t>
  </si>
  <si>
    <t>Rejuntamento</t>
  </si>
  <si>
    <t>6.2.5</t>
  </si>
  <si>
    <t>Pastilha Piscina</t>
  </si>
  <si>
    <t>6.3.1</t>
  </si>
  <si>
    <t>6.3.2</t>
  </si>
  <si>
    <t>Reboco</t>
  </si>
  <si>
    <t>6.3.3</t>
  </si>
  <si>
    <t>Taliscamento</t>
  </si>
  <si>
    <t>6.4.1</t>
  </si>
  <si>
    <t>Gesso Corrido teto</t>
  </si>
  <si>
    <t>6.4.2</t>
  </si>
  <si>
    <t>Tabica</t>
  </si>
  <si>
    <t>Forro de Gesso em Placa</t>
  </si>
  <si>
    <t>6.5.1</t>
  </si>
  <si>
    <t>Emassamento - apartamentos</t>
  </si>
  <si>
    <t>6.5.2</t>
  </si>
  <si>
    <t>Emassamento - área comum</t>
  </si>
  <si>
    <t>Pav.</t>
  </si>
  <si>
    <t>6.5.3</t>
  </si>
  <si>
    <t>Tinta Fosca - apart. 1° demão</t>
  </si>
  <si>
    <t>6.5.4</t>
  </si>
  <si>
    <t>Tinta Fosca - área comum 1° demão</t>
  </si>
  <si>
    <t>6.5.5</t>
  </si>
  <si>
    <t>Tinta Fosca - apart.s 2° demão</t>
  </si>
  <si>
    <t>6.5.6</t>
  </si>
  <si>
    <t>Tinta Fosca - área comum 2° demão</t>
  </si>
  <si>
    <t>6.5.7</t>
  </si>
  <si>
    <t>Textura Externa</t>
  </si>
  <si>
    <t>6.5.8</t>
  </si>
  <si>
    <t>Pintura Corrimão Escada</t>
  </si>
  <si>
    <t>6.5.9</t>
  </si>
  <si>
    <t>Demarcação de vagas de garagem</t>
  </si>
  <si>
    <t>6.5.10</t>
  </si>
  <si>
    <t>Texturizada/Granilha</t>
  </si>
  <si>
    <t>6.5.11</t>
  </si>
  <si>
    <t>Pintura esmalte das tubulações aparentes terreo e subsolo</t>
  </si>
  <si>
    <t>7.1.1</t>
  </si>
  <si>
    <t>Contrapiso</t>
  </si>
  <si>
    <t>7.1.2</t>
  </si>
  <si>
    <t>Ceramica</t>
  </si>
  <si>
    <t>7.1.3</t>
  </si>
  <si>
    <t>7.1.4</t>
  </si>
  <si>
    <t>Cimentado</t>
  </si>
  <si>
    <t>7.2.1</t>
  </si>
  <si>
    <t>Acabaento Áspero</t>
  </si>
  <si>
    <t>Und</t>
  </si>
  <si>
    <t>7.2.2</t>
  </si>
  <si>
    <t>Lastro de Concreto Magro (Junta B)</t>
  </si>
  <si>
    <t>7.2.3</t>
  </si>
  <si>
    <t>Lastro de Concreto Magro (Junta A)</t>
  </si>
  <si>
    <t>7.2.4</t>
  </si>
  <si>
    <t>Piso concreto desempenado - garagens</t>
  </si>
  <si>
    <t>Rodapés</t>
  </si>
  <si>
    <t>7.3.1</t>
  </si>
  <si>
    <t>Cerâmica</t>
  </si>
  <si>
    <t>Soleiras</t>
  </si>
  <si>
    <t>7.4.1</t>
  </si>
  <si>
    <t>Granito</t>
  </si>
  <si>
    <t>Peitoris</t>
  </si>
  <si>
    <t>7.5.1</t>
  </si>
  <si>
    <t>Concreto pré-fabricado</t>
  </si>
  <si>
    <t>Pavimentações Especiais</t>
  </si>
  <si>
    <t>7.6.1</t>
  </si>
  <si>
    <t>Borda de Piscina</t>
  </si>
  <si>
    <t>unid</t>
  </si>
  <si>
    <t>7.6.2</t>
  </si>
  <si>
    <t>Piso concreto desempenado - calçadas</t>
  </si>
  <si>
    <t>Elétricas e telefônicas</t>
  </si>
  <si>
    <t>8.1.1</t>
  </si>
  <si>
    <t>Tubulação e caixas na laje</t>
  </si>
  <si>
    <t>8.1.2</t>
  </si>
  <si>
    <t>Tubulação e caixas nas alvenarias</t>
  </si>
  <si>
    <t>8.1.3</t>
  </si>
  <si>
    <t>Prumadas gerais</t>
  </si>
  <si>
    <t>8.1.4</t>
  </si>
  <si>
    <t>Enfiação áreas privativas</t>
  </si>
  <si>
    <t>8.1.5</t>
  </si>
  <si>
    <t>Enfiação , prumadas áreas comuns</t>
  </si>
  <si>
    <t>8.1.6</t>
  </si>
  <si>
    <t>Quadros de distribuição</t>
  </si>
  <si>
    <t>8.1.7</t>
  </si>
  <si>
    <t>Tomadas, interruptores e disjuntores</t>
  </si>
  <si>
    <t>Apt.</t>
  </si>
  <si>
    <t>8.1.8</t>
  </si>
  <si>
    <t>Iluminação de emergência</t>
  </si>
  <si>
    <t>8.1.9</t>
  </si>
  <si>
    <t>Luminárias (partes comuns)</t>
  </si>
  <si>
    <t>8.1.10</t>
  </si>
  <si>
    <t>Quadro de medição/ entrada de energia</t>
  </si>
  <si>
    <t>8.1.11</t>
  </si>
  <si>
    <t>Substação Transformadora</t>
  </si>
  <si>
    <t>Und.</t>
  </si>
  <si>
    <t>8.1.12</t>
  </si>
  <si>
    <t>Para-raios</t>
  </si>
  <si>
    <t>8.1.13</t>
  </si>
  <si>
    <t>Antena Coletiva (equipamentos e acessorios)</t>
  </si>
  <si>
    <t>8.1.14</t>
  </si>
  <si>
    <t>Interfone</t>
  </si>
  <si>
    <t>8.1.15</t>
  </si>
  <si>
    <t>Porteiro Eletrônico</t>
  </si>
  <si>
    <t>8.1.16</t>
  </si>
  <si>
    <t>Cabeamento/Telefone</t>
  </si>
  <si>
    <t>8.2.1</t>
  </si>
  <si>
    <t>Cavalete/hidrômetro</t>
  </si>
  <si>
    <t>8.2.2</t>
  </si>
  <si>
    <t>Barrilete</t>
  </si>
  <si>
    <t>8.2.3</t>
  </si>
  <si>
    <t>Prumadas</t>
  </si>
  <si>
    <t>8.2.4</t>
  </si>
  <si>
    <t>Distribuição</t>
  </si>
  <si>
    <t>8.2.5</t>
  </si>
  <si>
    <t>Entrada hidrômetro até a cisterna</t>
  </si>
  <si>
    <t>8.2.6</t>
  </si>
  <si>
    <t>Reservatorio</t>
  </si>
  <si>
    <t>8.3.1</t>
  </si>
  <si>
    <t>8.3.2</t>
  </si>
  <si>
    <t>Medidores</t>
  </si>
  <si>
    <t>8.3.3</t>
  </si>
  <si>
    <t>Cilindros/Equip</t>
  </si>
  <si>
    <t>8.3.4</t>
  </si>
  <si>
    <t>8.4.1</t>
  </si>
  <si>
    <t>8.4.2</t>
  </si>
  <si>
    <t>Caixas</t>
  </si>
  <si>
    <t>8.4.3</t>
  </si>
  <si>
    <t>Registros</t>
  </si>
  <si>
    <t>8.4.4</t>
  </si>
  <si>
    <t>Mangueiras e metais</t>
  </si>
  <si>
    <t>8.4.5</t>
  </si>
  <si>
    <t>Hidr.passeio</t>
  </si>
  <si>
    <t>8.4.6</t>
  </si>
  <si>
    <t>Extintores</t>
  </si>
  <si>
    <t>8.4.7</t>
  </si>
  <si>
    <t>Bombas</t>
  </si>
  <si>
    <t>8.5.1</t>
  </si>
  <si>
    <t>Prumadas - esgoto/ventilação</t>
  </si>
  <si>
    <t>8.5.2</t>
  </si>
  <si>
    <t>Ramais - esgoto</t>
  </si>
  <si>
    <t>8.5.3</t>
  </si>
  <si>
    <t>Rede Térreo - esgoto</t>
  </si>
  <si>
    <t>8.5.4</t>
  </si>
  <si>
    <t>Prumadas - pluvial</t>
  </si>
  <si>
    <t>8.5.5</t>
  </si>
  <si>
    <t>Rede Térreo - pluvial</t>
  </si>
  <si>
    <t>8.5.6</t>
  </si>
  <si>
    <t>Calhas e Ralos</t>
  </si>
  <si>
    <t>Mecânicas</t>
  </si>
  <si>
    <t>8.6.1</t>
  </si>
  <si>
    <t>Elevadores</t>
  </si>
  <si>
    <t>8.6.2</t>
  </si>
  <si>
    <t>Exaustores</t>
  </si>
  <si>
    <t>8.6.3</t>
  </si>
  <si>
    <t xml:space="preserve">Bombas de água </t>
  </si>
  <si>
    <t>8.7.1</t>
  </si>
  <si>
    <t>Vaso Sanitário</t>
  </si>
  <si>
    <t>8.7.2</t>
  </si>
  <si>
    <t>Lavatório</t>
  </si>
  <si>
    <t>8.7.3</t>
  </si>
  <si>
    <t>Tanque</t>
  </si>
  <si>
    <t>8.7.4</t>
  </si>
  <si>
    <t>Bancadas</t>
  </si>
  <si>
    <t>8.7.5</t>
  </si>
  <si>
    <t>Pia  Cozinha Cuba Inox</t>
  </si>
  <si>
    <t>8.7.6</t>
  </si>
  <si>
    <t>Torneira p/ Pia</t>
  </si>
  <si>
    <t>8.7.7</t>
  </si>
  <si>
    <t>Torneira p/ Lavatorio</t>
  </si>
  <si>
    <t>8.7.8</t>
  </si>
  <si>
    <t>Acessorios</t>
  </si>
  <si>
    <t>8.8.1</t>
  </si>
  <si>
    <t>Prumadas - Drenos</t>
  </si>
  <si>
    <t>8.8.2</t>
  </si>
  <si>
    <t>Dutos de Passagem</t>
  </si>
  <si>
    <t>8.8.3</t>
  </si>
  <si>
    <t>Instalações frigorígenas</t>
  </si>
  <si>
    <t>8.9.1</t>
  </si>
  <si>
    <t>Guarda corpo metálico - h=90cm</t>
  </si>
  <si>
    <t>8.9.2</t>
  </si>
  <si>
    <t>Equipamento para piscina adulto</t>
  </si>
  <si>
    <t>8.9.3</t>
  </si>
  <si>
    <t>Equipamento para Playground</t>
  </si>
  <si>
    <t>8.9.4</t>
  </si>
  <si>
    <t>Meio Fio</t>
  </si>
  <si>
    <t>9.1</t>
  </si>
  <si>
    <t>Serviço de calafate e Limpeza Final</t>
  </si>
  <si>
    <t>9.2</t>
  </si>
  <si>
    <t>Ligações</t>
  </si>
  <si>
    <t>TOTAL</t>
  </si>
  <si>
    <t>GLOBAL</t>
  </si>
  <si>
    <t>PERIODO</t>
  </si>
  <si>
    <t>ACUMULADO</t>
  </si>
  <si>
    <t>GLOBAL OBRA</t>
  </si>
  <si>
    <t>MEDICAO</t>
  </si>
  <si>
    <t>PERIODO SERVICO</t>
  </si>
  <si>
    <t>cod</t>
  </si>
  <si>
    <t>serviço</t>
  </si>
  <si>
    <t>valores</t>
  </si>
  <si>
    <t>peso global</t>
  </si>
  <si>
    <t>quantidade</t>
  </si>
  <si>
    <t>unidade</t>
  </si>
  <si>
    <t>6.1.1</t>
  </si>
  <si>
    <t>6.1.2</t>
  </si>
  <si>
    <t>2.3.1</t>
  </si>
  <si>
    <t>2.2.3</t>
  </si>
  <si>
    <t>4.2</t>
  </si>
  <si>
    <t>4.2.1</t>
  </si>
  <si>
    <t>4.2.2</t>
  </si>
  <si>
    <t>4.3.3</t>
  </si>
  <si>
    <t>4.3.4</t>
  </si>
  <si>
    <t>4.3.5</t>
  </si>
  <si>
    <t>4.4.6</t>
  </si>
  <si>
    <t>6.4.3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</si>
</sst>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2">
    <xf numFmtId="0" fontId="0" fillId="0" borderId="0" xfId="0"/>
    <xf numFmtId="44" fontId="0" fillId="0" borderId="0" xfId="1" applyFont="1"/>
    <xf numFmtId="0" fontId="3" fillId="2" borderId="1" xfId="3" applyFont="1" applyFill="1" applyBorder="1" applyAlignment="1" applyProtection="1">
      <alignment horizontal="center" vertical="center"/>
      <protection locked="0"/>
    </xf>
    <xf numFmtId="49" fontId="3" fillId="2" borderId="2" xfId="3" applyNumberFormat="1" applyFont="1" applyFill="1" applyBorder="1" applyAlignment="1" applyProtection="1">
      <alignment vertical="center"/>
      <protection locked="0"/>
    </xf>
    <xf numFmtId="165" fontId="2" fillId="2" borderId="4" xfId="3" applyNumberFormat="1" applyFill="1" applyBorder="1" applyAlignment="1">
      <alignment horizontal="right" vertical="center"/>
    </xf>
    <xf numFmtId="0" fontId="2" fillId="2" borderId="4" xfId="3" applyFill="1" applyBorder="1" applyAlignment="1" applyProtection="1">
      <alignment horizontal="center" vertical="center"/>
      <protection locked="0"/>
    </xf>
    <xf numFmtId="0" fontId="2" fillId="0" borderId="5" xfId="3" applyBorder="1" applyAlignment="1" applyProtection="1">
      <alignment horizontal="center" vertical="center"/>
      <protection locked="0"/>
    </xf>
    <xf numFmtId="49" fontId="2" fillId="0" borderId="2" xfId="3" applyNumberFormat="1" applyBorder="1" applyAlignment="1" applyProtection="1">
      <alignment vertical="center"/>
      <protection locked="0"/>
    </xf>
    <xf numFmtId="165" fontId="2" fillId="0" borderId="7" xfId="3" applyNumberFormat="1" applyBorder="1" applyAlignment="1">
      <alignment horizontal="right" vertical="center"/>
    </xf>
    <xf numFmtId="0" fontId="2" fillId="0" borderId="2" xfId="3" applyBorder="1" applyAlignment="1" applyProtection="1">
      <alignment horizontal="center" vertical="center"/>
      <protection locked="0"/>
    </xf>
    <xf numFmtId="0" fontId="2" fillId="0" borderId="2" xfId="3" applyBorder="1" applyAlignment="1">
      <alignment vertical="center"/>
    </xf>
    <xf numFmtId="0" fontId="3" fillId="2" borderId="5" xfId="3" applyFont="1" applyFill="1" applyBorder="1" applyAlignment="1" applyProtection="1">
      <alignment horizontal="center" vertical="center"/>
      <protection locked="0"/>
    </xf>
    <xf numFmtId="165" fontId="2" fillId="2" borderId="9" xfId="3" applyNumberFormat="1" applyFill="1" applyBorder="1" applyAlignment="1">
      <alignment horizontal="right" vertical="center"/>
    </xf>
    <xf numFmtId="0" fontId="2" fillId="2" borderId="9" xfId="3" applyFill="1" applyBorder="1" applyAlignment="1" applyProtection="1">
      <alignment horizontal="center" vertical="center"/>
      <protection locked="0"/>
    </xf>
    <xf numFmtId="165" fontId="2" fillId="2" borderId="11" xfId="3" applyNumberFormat="1" applyFill="1" applyBorder="1" applyAlignment="1">
      <alignment horizontal="right" vertical="center"/>
    </xf>
    <xf numFmtId="0" fontId="2" fillId="0" borderId="8" xfId="3" applyBorder="1" applyAlignment="1">
      <alignment vertical="center"/>
    </xf>
    <xf numFmtId="0" fontId="3" fillId="2" borderId="12" xfId="3" applyFont="1" applyFill="1" applyBorder="1" applyAlignment="1" applyProtection="1">
      <alignment horizontal="center" vertical="center"/>
      <protection locked="0"/>
    </xf>
    <xf numFmtId="0" fontId="2" fillId="0" borderId="12" xfId="3" applyBorder="1" applyAlignment="1" applyProtection="1">
      <alignment horizontal="center" vertical="center"/>
      <protection locked="0"/>
    </xf>
    <xf numFmtId="0" fontId="2" fillId="0" borderId="9" xfId="3" applyBorder="1" applyAlignment="1" applyProtection="1">
      <alignment horizontal="center" vertical="center"/>
      <protection locked="0"/>
    </xf>
    <xf numFmtId="39" fontId="3" fillId="2" borderId="2" xfId="4" applyNumberFormat="1" applyFont="1" applyFill="1" applyBorder="1" applyAlignment="1" applyProtection="1">
      <alignment vertical="center"/>
      <protection locked="0"/>
    </xf>
    <xf numFmtId="49" fontId="2" fillId="0" borderId="2" xfId="3" applyNumberFormat="1" applyBorder="1" applyAlignment="1" applyProtection="1">
      <alignment horizontal="left" vertical="center"/>
      <protection locked="0"/>
    </xf>
    <xf numFmtId="49" fontId="3" fillId="2" borderId="2" xfId="3" applyNumberFormat="1" applyFont="1" applyFill="1" applyBorder="1" applyAlignment="1" applyProtection="1">
      <alignment horizontal="left" vertical="center"/>
      <protection locked="0"/>
    </xf>
    <xf numFmtId="39" fontId="3" fillId="2" borderId="2" xfId="4" applyNumberFormat="1" applyFont="1" applyFill="1" applyBorder="1" applyAlignment="1" applyProtection="1">
      <alignment horizontal="center" vertical="center"/>
      <protection locked="0"/>
    </xf>
    <xf numFmtId="39" fontId="2" fillId="2" borderId="9" xfId="4" applyNumberFormat="1" applyFont="1" applyFill="1" applyBorder="1" applyAlignment="1" applyProtection="1">
      <alignment vertical="center"/>
      <protection locked="0"/>
    </xf>
    <xf numFmtId="0" fontId="2" fillId="0" borderId="2" xfId="3" applyBorder="1" applyAlignment="1">
      <alignment horizontal="justify" vertical="center"/>
    </xf>
    <xf numFmtId="0" fontId="0" fillId="0" borderId="0" xfId="0" applyAlignment="1">
      <alignment horizontal="center"/>
    </xf>
    <xf numFmtId="44" fontId="2" fillId="2" borderId="3" xfId="1" applyFont="1" applyFill="1" applyBorder="1" applyAlignment="1" applyProtection="1">
      <alignment horizontal="right" vertical="center"/>
      <protection locked="0"/>
    </xf>
    <xf numFmtId="44" fontId="2" fillId="0" borderId="6" xfId="1" applyFont="1" applyFill="1" applyBorder="1" applyAlignment="1" applyProtection="1">
      <alignment horizontal="right" vertical="center"/>
      <protection locked="0"/>
    </xf>
    <xf numFmtId="44" fontId="2" fillId="2" borderId="8" xfId="1" applyFont="1" applyFill="1" applyBorder="1" applyAlignment="1" applyProtection="1">
      <alignment horizontal="right" vertical="center"/>
      <protection locked="0"/>
    </xf>
    <xf numFmtId="44" fontId="2" fillId="2" borderId="10" xfId="1" applyFont="1" applyFill="1" applyBorder="1" applyAlignment="1" applyProtection="1">
      <alignment horizontal="right" vertical="center"/>
      <protection locked="0"/>
    </xf>
    <xf numFmtId="44" fontId="2" fillId="0" borderId="2" xfId="1" applyFont="1" applyFill="1" applyBorder="1" applyAlignment="1" applyProtection="1">
      <alignment horizontal="right" vertical="center"/>
      <protection locked="0"/>
    </xf>
    <xf numFmtId="44" fontId="2" fillId="0" borderId="8" xfId="1" applyFont="1" applyFill="1" applyBorder="1" applyAlignment="1" applyProtection="1">
      <alignment horizontal="right" vertical="center"/>
      <protection locked="0"/>
    </xf>
    <xf numFmtId="44" fontId="2" fillId="2" borderId="8" xfId="1" applyFont="1" applyFill="1" applyBorder="1" applyAlignment="1" applyProtection="1">
      <alignment vertical="center"/>
      <protection locked="0"/>
    </xf>
    <xf numFmtId="44" fontId="2" fillId="0" borderId="2" xfId="1" applyFont="1" applyFill="1" applyBorder="1" applyAlignment="1" applyProtection="1">
      <alignment vertical="center"/>
      <protection locked="0"/>
    </xf>
    <xf numFmtId="44" fontId="2" fillId="0" borderId="2" xfId="1" applyFont="1" applyBorder="1" applyAlignment="1" applyProtection="1">
      <alignment vertical="center"/>
      <protection locked="0"/>
    </xf>
    <xf numFmtId="0" fontId="0" fillId="0" borderId="0" xfId="0" applyAlignment="1">
      <alignment horizontal="right"/>
    </xf>
    <xf numFmtId="2" fontId="0" fillId="0" borderId="0" xfId="0" applyNumberFormat="1"/>
    <xf numFmtId="43" fontId="2" fillId="0" borderId="0" xfId="2" applyFont="1" applyFill="1" applyAlignment="1">
      <alignment vertical="center"/>
    </xf>
    <xf numFmtId="44" fontId="0" fillId="0" borderId="0" xfId="1" applyFont="1" applyFill="1"/>
    <xf numFmtId="43" fontId="3" fillId="0" borderId="2" xfId="2" applyFont="1" applyFill="1" applyBorder="1" applyAlignment="1">
      <alignment vertical="center"/>
    </xf>
    <xf numFmtId="43" fontId="2" fillId="0" borderId="2" xfId="2" applyFont="1" applyFill="1" applyBorder="1" applyAlignment="1">
      <alignment vertical="center"/>
    </xf>
    <xf numFmtId="44" fontId="0" fillId="0" borderId="0" xfId="1" applyFont="1" applyFill="1" applyAlignment="1">
      <alignment horizontal="center"/>
    </xf>
  </cellXfs>
  <cellStyles count="6">
    <cellStyle name="Moeda" xfId="1" builtinId="4"/>
    <cellStyle name="Normal" xfId="0" builtinId="0"/>
    <cellStyle name="Normal_24º RAE - Saint Laurent" xfId="3" xr:uid="{C0477E8F-3A5A-48B7-B2DE-5A7539D1D7A7}"/>
    <cellStyle name="Porcentagem 2" xfId="5" xr:uid="{44534A1C-10C8-457D-8896-DAB84D989532}"/>
    <cellStyle name="Separador de milhares_24º RAE - Saint Laurent" xfId="4" xr:uid="{375F5795-F37A-4A5E-A877-481521D63AA6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7DA9-FAB7-4210-8C84-C8BFC7094E9B}">
  <dimension ref="A1:L209"/>
  <sheetViews>
    <sheetView tabSelected="1" topLeftCell="A189" zoomScaleNormal="100" workbookViewId="0">
      <selection activeCell="D210" sqref="D210"/>
    </sheetView>
  </sheetViews>
  <sheetFormatPr defaultRowHeight="14.4" x14ac:dyDescent="0.3"/>
  <cols>
    <col min="1" max="1" width="6.109375" bestFit="1" customWidth="1"/>
    <col min="2" max="2" width="76.33203125" bestFit="1" customWidth="1"/>
    <col min="3" max="3" width="16.5546875" style="1" bestFit="1" customWidth="1"/>
    <col min="4" max="5" width="10" bestFit="1" customWidth="1"/>
    <col min="7" max="7" width="15.5546875" bestFit="1" customWidth="1"/>
    <col min="8" max="8" width="16.21875" bestFit="1" customWidth="1"/>
    <col min="9" max="9" width="11.5546875" bestFit="1" customWidth="1"/>
    <col min="10" max="10" width="12.6640625" bestFit="1" customWidth="1"/>
    <col min="11" max="11" width="15.5546875" style="38" bestFit="1" customWidth="1"/>
  </cols>
  <sheetData>
    <row r="1" spans="1:12" ht="15" thickBot="1" x14ac:dyDescent="0.35">
      <c r="A1" t="s">
        <v>404</v>
      </c>
      <c r="B1" t="s">
        <v>405</v>
      </c>
      <c r="C1" s="1" t="s">
        <v>406</v>
      </c>
      <c r="D1" t="s">
        <v>407</v>
      </c>
      <c r="E1" t="s">
        <v>408</v>
      </c>
      <c r="F1" t="s">
        <v>409</v>
      </c>
      <c r="G1" s="25" t="s">
        <v>397</v>
      </c>
      <c r="H1" s="25" t="s">
        <v>403</v>
      </c>
      <c r="I1" s="25" t="s">
        <v>400</v>
      </c>
      <c r="J1" s="25" t="s">
        <v>401</v>
      </c>
      <c r="K1" s="41" t="s">
        <v>402</v>
      </c>
    </row>
    <row r="2" spans="1:12" x14ac:dyDescent="0.3">
      <c r="A2" s="2">
        <v>1</v>
      </c>
      <c r="B2" s="3" t="s">
        <v>0</v>
      </c>
      <c r="C2" s="26">
        <v>1925650.4424000001</v>
      </c>
      <c r="D2" s="4">
        <f>SUM(D3:D12)</f>
        <v>7.564448947512675</v>
      </c>
      <c r="E2" s="5"/>
      <c r="F2" s="5"/>
      <c r="H2" s="36">
        <f>SUM(L3:L13)</f>
        <v>0.18281547190169145</v>
      </c>
      <c r="I2" s="36">
        <f>AVERAGE(I3:I12)</f>
        <v>69.117647058823522</v>
      </c>
      <c r="J2">
        <f>0.637484224224017*100</f>
        <v>63.748422422401696</v>
      </c>
      <c r="K2" s="39">
        <f>SUM(K3:K12)</f>
        <v>46538.57759999999</v>
      </c>
    </row>
    <row r="3" spans="1:12" x14ac:dyDescent="0.3">
      <c r="A3" s="6" t="s">
        <v>56</v>
      </c>
      <c r="B3" s="7" t="s">
        <v>57</v>
      </c>
      <c r="C3" s="27">
        <v>182862.18</v>
      </c>
      <c r="D3" s="8">
        <v>0.71832955482661864</v>
      </c>
      <c r="E3" s="9">
        <v>1</v>
      </c>
      <c r="F3" s="10" t="s">
        <v>58</v>
      </c>
      <c r="G3" s="1">
        <f>C3*E3</f>
        <v>182862.18</v>
      </c>
      <c r="H3" s="36">
        <v>0</v>
      </c>
      <c r="I3" s="36">
        <v>100</v>
      </c>
      <c r="J3" s="36">
        <v>0.71832955482661864</v>
      </c>
      <c r="K3" s="37">
        <f t="shared" ref="K3:K5" si="0">G3*(H3/100)</f>
        <v>0</v>
      </c>
      <c r="L3">
        <f>H3*D3/100</f>
        <v>0</v>
      </c>
    </row>
    <row r="4" spans="1:12" x14ac:dyDescent="0.3">
      <c r="A4" s="6" t="s">
        <v>59</v>
      </c>
      <c r="B4" s="7" t="s">
        <v>60</v>
      </c>
      <c r="C4" s="27">
        <v>155700.62400000001</v>
      </c>
      <c r="D4" s="8">
        <v>0.61163199478507113</v>
      </c>
      <c r="E4" s="9">
        <v>1</v>
      </c>
      <c r="F4" s="10" t="s">
        <v>58</v>
      </c>
      <c r="G4" s="1">
        <f t="shared" ref="G4:G67" si="1">C4*E4</f>
        <v>155700.62400000001</v>
      </c>
      <c r="H4" s="36">
        <v>0</v>
      </c>
      <c r="I4" s="36">
        <v>100</v>
      </c>
      <c r="J4" s="36">
        <v>0.61163199478507113</v>
      </c>
      <c r="K4" s="37">
        <f t="shared" si="0"/>
        <v>0</v>
      </c>
      <c r="L4">
        <f t="shared" ref="L4:L12" si="2">H4*D4/100</f>
        <v>0</v>
      </c>
    </row>
    <row r="5" spans="1:12" x14ac:dyDescent="0.3">
      <c r="A5" s="6" t="s">
        <v>61</v>
      </c>
      <c r="B5" s="7" t="s">
        <v>62</v>
      </c>
      <c r="C5" s="27">
        <v>4776</v>
      </c>
      <c r="D5" s="8">
        <v>1.8761353243475117E-2</v>
      </c>
      <c r="E5" s="9">
        <v>1</v>
      </c>
      <c r="F5" s="10" t="s">
        <v>58</v>
      </c>
      <c r="G5" s="1">
        <f t="shared" si="1"/>
        <v>4776</v>
      </c>
      <c r="H5" s="36">
        <v>0</v>
      </c>
      <c r="I5" s="36">
        <v>100</v>
      </c>
      <c r="J5" s="36">
        <v>1.8761353243475117E-2</v>
      </c>
      <c r="K5" s="37">
        <f t="shared" si="0"/>
        <v>0</v>
      </c>
      <c r="L5">
        <f t="shared" si="2"/>
        <v>0</v>
      </c>
    </row>
    <row r="6" spans="1:12" x14ac:dyDescent="0.3">
      <c r="A6" s="6" t="s">
        <v>63</v>
      </c>
      <c r="B6" s="7" t="s">
        <v>64</v>
      </c>
      <c r="C6" s="27">
        <v>7856.4695999999994</v>
      </c>
      <c r="D6" s="8">
        <v>1.0493157554471533</v>
      </c>
      <c r="E6" s="9">
        <v>34</v>
      </c>
      <c r="F6" s="10" t="s">
        <v>65</v>
      </c>
      <c r="G6" s="1">
        <f t="shared" si="1"/>
        <v>267119.96639999998</v>
      </c>
      <c r="H6" s="36">
        <v>2.9411764705882351</v>
      </c>
      <c r="I6" s="36">
        <v>55.882352941176471</v>
      </c>
      <c r="J6" s="36">
        <v>0.58638233392635042</v>
      </c>
      <c r="K6" s="37">
        <f>G6*(H6/100)</f>
        <v>7856.4695999999985</v>
      </c>
      <c r="L6">
        <f>H6*D6/100</f>
        <v>3.0862228101386856E-2</v>
      </c>
    </row>
    <row r="7" spans="1:12" x14ac:dyDescent="0.3">
      <c r="A7" s="6" t="s">
        <v>66</v>
      </c>
      <c r="B7" s="7" t="s">
        <v>67</v>
      </c>
      <c r="C7" s="27">
        <v>6225.8759999999993</v>
      </c>
      <c r="D7" s="8">
        <v>0.8315324962576448</v>
      </c>
      <c r="E7" s="9">
        <v>34</v>
      </c>
      <c r="F7" s="10" t="s">
        <v>65</v>
      </c>
      <c r="G7" s="1">
        <f t="shared" si="1"/>
        <v>211679.78399999999</v>
      </c>
      <c r="H7" s="36">
        <v>2.9411764705882351</v>
      </c>
      <c r="I7" s="36">
        <v>55.882352941176471</v>
      </c>
      <c r="J7" s="36">
        <v>0.46467992437927208</v>
      </c>
      <c r="K7" s="37">
        <f t="shared" ref="K7:K12" si="3">G7*(H7/100)</f>
        <v>6225.8759999999984</v>
      </c>
      <c r="L7">
        <f t="shared" si="2"/>
        <v>2.4456838125224846E-2</v>
      </c>
    </row>
    <row r="8" spans="1:12" x14ac:dyDescent="0.3">
      <c r="A8" s="6" t="s">
        <v>68</v>
      </c>
      <c r="B8" s="7" t="s">
        <v>69</v>
      </c>
      <c r="C8" s="27">
        <v>1274.82</v>
      </c>
      <c r="D8" s="8">
        <v>0.17026588015552685</v>
      </c>
      <c r="E8" s="9">
        <v>34</v>
      </c>
      <c r="F8" s="10" t="s">
        <v>65</v>
      </c>
      <c r="G8" s="1">
        <f t="shared" si="1"/>
        <v>43343.88</v>
      </c>
      <c r="H8" s="36">
        <v>2.9411764705882351</v>
      </c>
      <c r="I8" s="36">
        <v>55.882352941176471</v>
      </c>
      <c r="J8" s="36">
        <v>9.5148580086912071E-2</v>
      </c>
      <c r="K8" s="37">
        <f t="shared" si="3"/>
        <v>1274.8199999999997</v>
      </c>
      <c r="L8">
        <f t="shared" si="2"/>
        <v>5.007820004574318E-3</v>
      </c>
    </row>
    <row r="9" spans="1:12" x14ac:dyDescent="0.3">
      <c r="A9" s="6" t="s">
        <v>70</v>
      </c>
      <c r="B9" s="7" t="s">
        <v>71</v>
      </c>
      <c r="C9" s="27">
        <v>578.11199999999997</v>
      </c>
      <c r="D9" s="8">
        <v>7.7213056359699356E-2</v>
      </c>
      <c r="E9" s="9">
        <v>34</v>
      </c>
      <c r="F9" s="10" t="s">
        <v>65</v>
      </c>
      <c r="G9" s="1">
        <f t="shared" si="1"/>
        <v>19655.807999999997</v>
      </c>
      <c r="H9" s="36">
        <v>2.9411764705882351</v>
      </c>
      <c r="I9" s="36">
        <v>55.882352941176471</v>
      </c>
      <c r="J9" s="36">
        <v>4.3148472671596702E-2</v>
      </c>
      <c r="K9" s="37">
        <f t="shared" si="3"/>
        <v>578.11199999999985</v>
      </c>
      <c r="L9">
        <f t="shared" si="2"/>
        <v>2.2709722458735104E-3</v>
      </c>
    </row>
    <row r="10" spans="1:12" x14ac:dyDescent="0.3">
      <c r="A10" s="6" t="s">
        <v>72</v>
      </c>
      <c r="B10" s="7" t="s">
        <v>73</v>
      </c>
      <c r="C10" s="27">
        <v>474.34800000000001</v>
      </c>
      <c r="D10" s="8">
        <v>6.335426155850539E-2</v>
      </c>
      <c r="E10" s="9">
        <v>34</v>
      </c>
      <c r="F10" s="10" t="s">
        <v>65</v>
      </c>
      <c r="G10" s="1">
        <f t="shared" si="1"/>
        <v>16127.832</v>
      </c>
      <c r="H10" s="36">
        <v>2.9411764705882351</v>
      </c>
      <c r="I10" s="36">
        <v>55.882352941176471</v>
      </c>
      <c r="J10" s="36">
        <v>3.540385204740007E-2</v>
      </c>
      <c r="K10" s="37">
        <f t="shared" si="3"/>
        <v>474.34799999999996</v>
      </c>
      <c r="L10">
        <f t="shared" si="2"/>
        <v>1.8633606340736878E-3</v>
      </c>
    </row>
    <row r="11" spans="1:12" x14ac:dyDescent="0.3">
      <c r="A11" s="6" t="s">
        <v>74</v>
      </c>
      <c r="B11" s="7" t="s">
        <v>75</v>
      </c>
      <c r="C11" s="27">
        <v>304.02</v>
      </c>
      <c r="D11" s="8">
        <v>4.0605130830143291E-2</v>
      </c>
      <c r="E11" s="9">
        <v>34</v>
      </c>
      <c r="F11" s="10" t="s">
        <v>65</v>
      </c>
      <c r="G11" s="1">
        <f t="shared" si="1"/>
        <v>10336.68</v>
      </c>
      <c r="H11" s="36">
        <v>2.9411764705882351</v>
      </c>
      <c r="I11" s="36">
        <v>55.882352941176471</v>
      </c>
      <c r="J11" s="36">
        <v>2.2691102522727134E-2</v>
      </c>
      <c r="K11" s="37">
        <f>G11*(H11/100)</f>
        <v>304.02</v>
      </c>
      <c r="L11">
        <f t="shared" si="2"/>
        <v>1.1942685538277437E-3</v>
      </c>
    </row>
    <row r="12" spans="1:12" x14ac:dyDescent="0.3">
      <c r="A12" s="6" t="s">
        <v>76</v>
      </c>
      <c r="B12" s="7" t="s">
        <v>77</v>
      </c>
      <c r="C12" s="27">
        <v>29824.932000000001</v>
      </c>
      <c r="D12" s="8">
        <v>3.9834394640488364</v>
      </c>
      <c r="E12" s="9">
        <v>34</v>
      </c>
      <c r="F12" s="10" t="s">
        <v>65</v>
      </c>
      <c r="G12" s="1">
        <f t="shared" si="1"/>
        <v>1014047.6880000001</v>
      </c>
      <c r="H12" s="36">
        <v>2.9411764705882351</v>
      </c>
      <c r="I12" s="36">
        <v>55.882352941176471</v>
      </c>
      <c r="J12" s="36">
        <v>2.2260397004978794</v>
      </c>
      <c r="K12" s="37">
        <f t="shared" si="3"/>
        <v>29824.931999999997</v>
      </c>
      <c r="L12">
        <f t="shared" si="2"/>
        <v>0.11715998423673048</v>
      </c>
    </row>
    <row r="13" spans="1:12" x14ac:dyDescent="0.3">
      <c r="A13" s="11">
        <v>2</v>
      </c>
      <c r="B13" s="3" t="s">
        <v>1</v>
      </c>
      <c r="C13" s="28">
        <v>1939084.6439999999</v>
      </c>
      <c r="D13" s="12">
        <f>SUM(D14,D21,D25)</f>
        <v>7.6172219378312791</v>
      </c>
      <c r="E13" s="13"/>
      <c r="F13" s="13"/>
      <c r="G13" s="1"/>
      <c r="H13" s="36">
        <f>SUM(L14:L26)</f>
        <v>0</v>
      </c>
      <c r="I13" s="36">
        <f>AVERAGE(I15:I20,I22:I24,I27)</f>
        <v>100</v>
      </c>
      <c r="J13" s="36">
        <v>100</v>
      </c>
      <c r="K13" s="39">
        <f>SUM(K14:K26)</f>
        <v>0</v>
      </c>
    </row>
    <row r="14" spans="1:12" x14ac:dyDescent="0.3">
      <c r="A14" s="11" t="s">
        <v>2</v>
      </c>
      <c r="B14" s="3" t="s">
        <v>78</v>
      </c>
      <c r="C14" s="29">
        <v>303200.29199999996</v>
      </c>
      <c r="D14" s="14">
        <f>SUM(D15:D20)</f>
        <v>1.1910485305144058</v>
      </c>
      <c r="E14" s="13"/>
      <c r="F14" s="13"/>
      <c r="G14" s="1"/>
      <c r="H14" s="36"/>
      <c r="I14" s="36"/>
      <c r="J14" s="36"/>
      <c r="K14" s="37"/>
    </row>
    <row r="15" spans="1:12" x14ac:dyDescent="0.3">
      <c r="A15" s="6" t="s">
        <v>79</v>
      </c>
      <c r="B15" s="7" t="s">
        <v>80</v>
      </c>
      <c r="C15" s="27">
        <v>63895.199999999997</v>
      </c>
      <c r="D15" s="8">
        <v>0.25099673738745631</v>
      </c>
      <c r="E15" s="9">
        <v>1</v>
      </c>
      <c r="F15" s="10" t="s">
        <v>58</v>
      </c>
      <c r="G15" s="1">
        <f t="shared" si="1"/>
        <v>63895.199999999997</v>
      </c>
      <c r="H15" s="36">
        <v>0</v>
      </c>
      <c r="I15" s="36">
        <v>100</v>
      </c>
      <c r="J15" s="36">
        <v>0.25099673738745631</v>
      </c>
      <c r="K15" s="37">
        <f t="shared" ref="K15:K44" si="4">G15*(H15/100)</f>
        <v>0</v>
      </c>
      <c r="L15">
        <f t="shared" ref="L15:L20" si="5">H15*D15/100</f>
        <v>0</v>
      </c>
    </row>
    <row r="16" spans="1:12" x14ac:dyDescent="0.3">
      <c r="A16" s="6" t="s">
        <v>81</v>
      </c>
      <c r="B16" s="7" t="s">
        <v>82</v>
      </c>
      <c r="C16" s="27">
        <v>42964.799999999996</v>
      </c>
      <c r="D16" s="8">
        <v>0.16877675666567413</v>
      </c>
      <c r="E16" s="9">
        <v>1</v>
      </c>
      <c r="F16" s="10" t="s">
        <v>58</v>
      </c>
      <c r="G16" s="1">
        <f t="shared" si="1"/>
        <v>42964.799999999996</v>
      </c>
      <c r="H16" s="36">
        <v>0</v>
      </c>
      <c r="I16" s="36">
        <v>100</v>
      </c>
      <c r="J16" s="36">
        <v>0.16877675666567413</v>
      </c>
      <c r="K16" s="37">
        <f t="shared" si="4"/>
        <v>0</v>
      </c>
      <c r="L16">
        <f t="shared" si="5"/>
        <v>0</v>
      </c>
    </row>
    <row r="17" spans="1:12" x14ac:dyDescent="0.3">
      <c r="A17" s="6" t="s">
        <v>83</v>
      </c>
      <c r="B17" s="7" t="s">
        <v>84</v>
      </c>
      <c r="C17" s="27">
        <v>3015.4079999999999</v>
      </c>
      <c r="D17" s="8">
        <v>1.1845296202093973E-2</v>
      </c>
      <c r="E17" s="9">
        <v>1</v>
      </c>
      <c r="F17" s="10" t="s">
        <v>58</v>
      </c>
      <c r="G17" s="1">
        <f t="shared" si="1"/>
        <v>3015.4079999999999</v>
      </c>
      <c r="H17" s="36">
        <v>0</v>
      </c>
      <c r="I17" s="36">
        <v>100</v>
      </c>
      <c r="J17" s="36">
        <v>1.1845296202093973E-2</v>
      </c>
      <c r="K17" s="37">
        <f t="shared" si="4"/>
        <v>0</v>
      </c>
      <c r="L17">
        <f t="shared" si="5"/>
        <v>0</v>
      </c>
    </row>
    <row r="18" spans="1:12" x14ac:dyDescent="0.3">
      <c r="A18" s="6" t="s">
        <v>85</v>
      </c>
      <c r="B18" s="7" t="s">
        <v>86</v>
      </c>
      <c r="C18" s="27">
        <v>78825.857999999993</v>
      </c>
      <c r="D18" s="8">
        <v>0.61929638469765858</v>
      </c>
      <c r="E18" s="9">
        <v>2</v>
      </c>
      <c r="F18" s="10" t="s">
        <v>58</v>
      </c>
      <c r="G18" s="1">
        <f t="shared" si="1"/>
        <v>157651.71599999999</v>
      </c>
      <c r="H18" s="36">
        <v>0</v>
      </c>
      <c r="I18" s="36">
        <v>100</v>
      </c>
      <c r="J18" s="36">
        <v>0.61929638469765858</v>
      </c>
      <c r="K18" s="37">
        <f t="shared" si="4"/>
        <v>0</v>
      </c>
      <c r="L18">
        <f t="shared" si="5"/>
        <v>0</v>
      </c>
    </row>
    <row r="19" spans="1:12" x14ac:dyDescent="0.3">
      <c r="A19" s="6" t="s">
        <v>87</v>
      </c>
      <c r="B19" s="7" t="s">
        <v>88</v>
      </c>
      <c r="C19" s="27">
        <v>7800</v>
      </c>
      <c r="D19" s="8">
        <v>3.0640401025775945E-2</v>
      </c>
      <c r="E19" s="9">
        <v>1</v>
      </c>
      <c r="F19" s="10" t="s">
        <v>58</v>
      </c>
      <c r="G19" s="1">
        <f t="shared" si="1"/>
        <v>7800</v>
      </c>
      <c r="H19" s="36">
        <v>0</v>
      </c>
      <c r="I19" s="36">
        <v>100</v>
      </c>
      <c r="J19" s="36">
        <v>3.0640401025775945E-2</v>
      </c>
      <c r="K19" s="37">
        <f t="shared" si="4"/>
        <v>0</v>
      </c>
      <c r="L19">
        <f t="shared" si="5"/>
        <v>0</v>
      </c>
    </row>
    <row r="20" spans="1:12" x14ac:dyDescent="0.3">
      <c r="A20" s="6" t="s">
        <v>89</v>
      </c>
      <c r="B20" s="7" t="s">
        <v>90</v>
      </c>
      <c r="C20" s="27">
        <v>27873.167999999998</v>
      </c>
      <c r="D20" s="8">
        <v>0.10949295453574681</v>
      </c>
      <c r="E20" s="9">
        <v>1</v>
      </c>
      <c r="F20" s="10" t="s">
        <v>58</v>
      </c>
      <c r="G20" s="1">
        <f t="shared" si="1"/>
        <v>27873.167999999998</v>
      </c>
      <c r="H20" s="36">
        <v>0</v>
      </c>
      <c r="I20" s="36">
        <v>100</v>
      </c>
      <c r="J20" s="36">
        <v>0.10949295453574681</v>
      </c>
      <c r="K20" s="37">
        <f t="shared" si="4"/>
        <v>0</v>
      </c>
      <c r="L20">
        <f t="shared" si="5"/>
        <v>0</v>
      </c>
    </row>
    <row r="21" spans="1:12" x14ac:dyDescent="0.3">
      <c r="A21" s="11" t="s">
        <v>3</v>
      </c>
      <c r="B21" s="3" t="s">
        <v>91</v>
      </c>
      <c r="C21" s="29">
        <v>1249056</v>
      </c>
      <c r="D21" s="14">
        <f>SUM(D22:D24)</f>
        <v>4.9066124030322555</v>
      </c>
      <c r="E21" s="13"/>
      <c r="F21" s="13"/>
      <c r="G21" s="1"/>
      <c r="H21" s="36">
        <f>SUM(L22:L24)</f>
        <v>0</v>
      </c>
      <c r="I21" s="36"/>
      <c r="J21" s="36"/>
      <c r="K21" s="37"/>
    </row>
    <row r="22" spans="1:12" x14ac:dyDescent="0.3">
      <c r="A22" s="6" t="s">
        <v>92</v>
      </c>
      <c r="B22" s="7" t="s">
        <v>93</v>
      </c>
      <c r="C22" s="27">
        <v>45724.799999999996</v>
      </c>
      <c r="D22" s="8">
        <v>0.17961874472094869</v>
      </c>
      <c r="E22" s="9">
        <v>1</v>
      </c>
      <c r="F22" s="10" t="s">
        <v>58</v>
      </c>
      <c r="G22" s="1">
        <f t="shared" si="1"/>
        <v>45724.799999999996</v>
      </c>
      <c r="H22" s="36">
        <v>0</v>
      </c>
      <c r="I22" s="36">
        <v>100</v>
      </c>
      <c r="J22" s="36">
        <v>0.17961874472094869</v>
      </c>
      <c r="K22" s="37">
        <f t="shared" si="4"/>
        <v>0</v>
      </c>
      <c r="L22">
        <f t="shared" ref="L22:L24" si="6">H22*D22/100</f>
        <v>0</v>
      </c>
    </row>
    <row r="23" spans="1:12" x14ac:dyDescent="0.3">
      <c r="A23" s="6" t="s">
        <v>94</v>
      </c>
      <c r="B23" s="7" t="s">
        <v>95</v>
      </c>
      <c r="C23" s="27">
        <v>14556</v>
      </c>
      <c r="D23" s="8">
        <v>5.7179702221948035E-2</v>
      </c>
      <c r="E23" s="9">
        <v>1</v>
      </c>
      <c r="F23" s="10" t="s">
        <v>58</v>
      </c>
      <c r="G23" s="1">
        <f t="shared" si="1"/>
        <v>14556</v>
      </c>
      <c r="H23" s="36">
        <v>0</v>
      </c>
      <c r="I23" s="36">
        <v>100</v>
      </c>
      <c r="J23" s="36">
        <v>5.7179702221948035E-2</v>
      </c>
      <c r="K23" s="37">
        <f t="shared" si="4"/>
        <v>0</v>
      </c>
      <c r="L23">
        <f t="shared" si="6"/>
        <v>0</v>
      </c>
    </row>
    <row r="24" spans="1:12" x14ac:dyDescent="0.3">
      <c r="A24" s="6" t="s">
        <v>413</v>
      </c>
      <c r="B24" s="7" t="s">
        <v>96</v>
      </c>
      <c r="C24" s="27">
        <v>1188775.2</v>
      </c>
      <c r="D24" s="8">
        <v>4.6698139560893592</v>
      </c>
      <c r="E24" s="9">
        <v>1</v>
      </c>
      <c r="F24" s="10" t="s">
        <v>58</v>
      </c>
      <c r="G24" s="1">
        <f t="shared" si="1"/>
        <v>1188775.2</v>
      </c>
      <c r="H24" s="36">
        <v>0</v>
      </c>
      <c r="I24" s="36">
        <v>100</v>
      </c>
      <c r="J24" s="36">
        <v>4.6698139560893592</v>
      </c>
      <c r="K24" s="37">
        <f t="shared" si="4"/>
        <v>0</v>
      </c>
      <c r="L24">
        <f t="shared" si="6"/>
        <v>0</v>
      </c>
    </row>
    <row r="25" spans="1:12" x14ac:dyDescent="0.3">
      <c r="A25" s="11" t="s">
        <v>4</v>
      </c>
      <c r="B25" s="3" t="s">
        <v>97</v>
      </c>
      <c r="C25" s="29">
        <v>386828.35200000001</v>
      </c>
      <c r="D25" s="14">
        <f>D26</f>
        <v>1.5195610042846177</v>
      </c>
      <c r="E25" s="13"/>
      <c r="F25" s="13"/>
      <c r="G25" s="1"/>
      <c r="H25" s="36">
        <f>SUM(L26)</f>
        <v>0</v>
      </c>
      <c r="I25" s="36"/>
      <c r="J25" s="36"/>
      <c r="K25" s="37"/>
    </row>
    <row r="26" spans="1:12" x14ac:dyDescent="0.3">
      <c r="A26" s="6" t="s">
        <v>412</v>
      </c>
      <c r="B26" s="7" t="s">
        <v>98</v>
      </c>
      <c r="C26" s="27">
        <v>128942.784</v>
      </c>
      <c r="D26" s="8">
        <v>1.5195610042846177</v>
      </c>
      <c r="E26" s="9">
        <v>3</v>
      </c>
      <c r="F26" s="10" t="s">
        <v>99</v>
      </c>
      <c r="G26" s="1">
        <f t="shared" si="1"/>
        <v>386828.35200000001</v>
      </c>
      <c r="H26" s="36">
        <v>0</v>
      </c>
      <c r="I26" s="36">
        <v>100</v>
      </c>
      <c r="J26" s="36">
        <v>1.5195610042846177</v>
      </c>
      <c r="K26" s="37">
        <f t="shared" si="4"/>
        <v>0</v>
      </c>
      <c r="L26">
        <f t="shared" ref="L26" si="7">H26*D26/100</f>
        <v>0</v>
      </c>
    </row>
    <row r="27" spans="1:12" x14ac:dyDescent="0.3">
      <c r="A27" s="11">
        <v>3</v>
      </c>
      <c r="B27" s="3" t="s">
        <v>5</v>
      </c>
      <c r="C27" s="28">
        <v>5708279.4959999993</v>
      </c>
      <c r="D27" s="12">
        <f>0.2242*100</f>
        <v>22.42</v>
      </c>
      <c r="E27" s="13"/>
      <c r="F27" s="13"/>
      <c r="G27" s="1"/>
      <c r="H27" s="36">
        <f>SUM(L28:L44)</f>
        <v>0</v>
      </c>
      <c r="I27" s="36">
        <f>AVERAGE(I28:I44)</f>
        <v>100</v>
      </c>
      <c r="J27" s="36">
        <v>100</v>
      </c>
      <c r="K27" s="39">
        <f>SUM(K28:K44)</f>
        <v>0</v>
      </c>
    </row>
    <row r="28" spans="1:12" x14ac:dyDescent="0.3">
      <c r="A28" s="6" t="s">
        <v>100</v>
      </c>
      <c r="B28" s="7" t="s">
        <v>101</v>
      </c>
      <c r="C28" s="27">
        <v>331857.59999999998</v>
      </c>
      <c r="D28" s="8">
        <v>1.3036217881348131</v>
      </c>
      <c r="E28" s="9">
        <v>1</v>
      </c>
      <c r="F28" s="10" t="s">
        <v>58</v>
      </c>
      <c r="G28" s="1">
        <f t="shared" si="1"/>
        <v>331857.59999999998</v>
      </c>
      <c r="H28" s="36">
        <v>0</v>
      </c>
      <c r="I28" s="36">
        <v>100</v>
      </c>
      <c r="J28" s="36">
        <v>1.3036217881348131</v>
      </c>
      <c r="K28" s="37">
        <f t="shared" si="4"/>
        <v>0</v>
      </c>
      <c r="L28">
        <f t="shared" ref="L28:L44" si="8">H28*D28/100</f>
        <v>0</v>
      </c>
    </row>
    <row r="29" spans="1:12" x14ac:dyDescent="0.3">
      <c r="A29" s="6" t="s">
        <v>102</v>
      </c>
      <c r="B29" s="7" t="s">
        <v>103</v>
      </c>
      <c r="C29" s="27">
        <v>379586.76</v>
      </c>
      <c r="D29" s="8">
        <v>1.4911141731378164</v>
      </c>
      <c r="E29" s="9">
        <v>1</v>
      </c>
      <c r="F29" s="10" t="s">
        <v>58</v>
      </c>
      <c r="G29" s="1">
        <f t="shared" si="1"/>
        <v>379586.76</v>
      </c>
      <c r="H29" s="36">
        <v>0</v>
      </c>
      <c r="I29" s="36">
        <v>100</v>
      </c>
      <c r="J29" s="36">
        <v>1.4911141731378164</v>
      </c>
      <c r="K29" s="37">
        <f t="shared" si="4"/>
        <v>0</v>
      </c>
      <c r="L29">
        <f t="shared" si="8"/>
        <v>0</v>
      </c>
    </row>
    <row r="30" spans="1:12" x14ac:dyDescent="0.3">
      <c r="A30" s="6" t="s">
        <v>104</v>
      </c>
      <c r="B30" s="7" t="s">
        <v>105</v>
      </c>
      <c r="C30" s="27">
        <v>371186.76</v>
      </c>
      <c r="D30" s="8">
        <v>1.4581168181869806</v>
      </c>
      <c r="E30" s="9">
        <v>1</v>
      </c>
      <c r="F30" s="10" t="s">
        <v>58</v>
      </c>
      <c r="G30" s="1">
        <f t="shared" si="1"/>
        <v>371186.76</v>
      </c>
      <c r="H30" s="36">
        <v>0</v>
      </c>
      <c r="I30" s="36">
        <v>100</v>
      </c>
      <c r="J30" s="36">
        <v>1.4581168181869806</v>
      </c>
      <c r="K30" s="37">
        <f t="shared" si="4"/>
        <v>0</v>
      </c>
      <c r="L30">
        <f t="shared" si="8"/>
        <v>0</v>
      </c>
    </row>
    <row r="31" spans="1:12" x14ac:dyDescent="0.3">
      <c r="A31" s="6" t="s">
        <v>106</v>
      </c>
      <c r="B31" s="7" t="s">
        <v>107</v>
      </c>
      <c r="C31" s="27">
        <v>86400</v>
      </c>
      <c r="D31" s="8">
        <v>0.3394013652085951</v>
      </c>
      <c r="E31" s="9">
        <v>1</v>
      </c>
      <c r="F31" s="10" t="s">
        <v>58</v>
      </c>
      <c r="G31" s="1">
        <f t="shared" si="1"/>
        <v>86400</v>
      </c>
      <c r="H31" s="36">
        <v>0</v>
      </c>
      <c r="I31" s="36">
        <v>100</v>
      </c>
      <c r="J31" s="36">
        <v>0.3394013652085951</v>
      </c>
      <c r="K31" s="37">
        <f t="shared" si="4"/>
        <v>0</v>
      </c>
      <c r="L31">
        <f t="shared" si="8"/>
        <v>0</v>
      </c>
    </row>
    <row r="32" spans="1:12" x14ac:dyDescent="0.3">
      <c r="A32" s="6" t="s">
        <v>108</v>
      </c>
      <c r="B32" s="7" t="s">
        <v>109</v>
      </c>
      <c r="C32" s="27">
        <v>9600</v>
      </c>
      <c r="D32" s="8">
        <v>3.7711262800955013E-2</v>
      </c>
      <c r="E32" s="9">
        <v>1</v>
      </c>
      <c r="F32" s="10" t="s">
        <v>58</v>
      </c>
      <c r="G32" s="1">
        <f t="shared" si="1"/>
        <v>9600</v>
      </c>
      <c r="H32" s="36">
        <v>0</v>
      </c>
      <c r="I32" s="36">
        <v>100</v>
      </c>
      <c r="J32" s="36">
        <v>3.7711262800955013E-2</v>
      </c>
      <c r="K32" s="37">
        <f t="shared" si="4"/>
        <v>0</v>
      </c>
      <c r="L32">
        <f t="shared" si="8"/>
        <v>0</v>
      </c>
    </row>
    <row r="33" spans="1:12" x14ac:dyDescent="0.3">
      <c r="A33" s="6" t="s">
        <v>110</v>
      </c>
      <c r="B33" s="7" t="s">
        <v>111</v>
      </c>
      <c r="C33" s="27">
        <v>45600</v>
      </c>
      <c r="D33" s="8">
        <v>0.17912849830453628</v>
      </c>
      <c r="E33" s="9">
        <v>1</v>
      </c>
      <c r="F33" s="10" t="s">
        <v>58</v>
      </c>
      <c r="G33" s="1">
        <f t="shared" si="1"/>
        <v>45600</v>
      </c>
      <c r="H33" s="36">
        <v>0</v>
      </c>
      <c r="I33" s="36">
        <v>100</v>
      </c>
      <c r="J33" s="36">
        <v>0.17912849830453628</v>
      </c>
      <c r="K33" s="37">
        <f t="shared" si="4"/>
        <v>0</v>
      </c>
      <c r="L33">
        <f t="shared" si="8"/>
        <v>0</v>
      </c>
    </row>
    <row r="34" spans="1:12" x14ac:dyDescent="0.3">
      <c r="A34" s="6" t="s">
        <v>112</v>
      </c>
      <c r="B34" s="7" t="s">
        <v>113</v>
      </c>
      <c r="C34" s="27">
        <v>36000</v>
      </c>
      <c r="D34" s="8">
        <v>0.14141723550358129</v>
      </c>
      <c r="E34" s="9">
        <v>1</v>
      </c>
      <c r="F34" s="10" t="s">
        <v>58</v>
      </c>
      <c r="G34" s="1">
        <f t="shared" si="1"/>
        <v>36000</v>
      </c>
      <c r="H34" s="36">
        <v>0</v>
      </c>
      <c r="I34" s="36">
        <v>100</v>
      </c>
      <c r="J34" s="36">
        <v>0.14141723550358129</v>
      </c>
      <c r="K34" s="37">
        <f t="shared" si="4"/>
        <v>0</v>
      </c>
      <c r="L34">
        <f t="shared" si="8"/>
        <v>0</v>
      </c>
    </row>
    <row r="35" spans="1:12" x14ac:dyDescent="0.3">
      <c r="A35" s="6" t="s">
        <v>114</v>
      </c>
      <c r="B35" s="7" t="s">
        <v>115</v>
      </c>
      <c r="C35" s="27">
        <v>45600</v>
      </c>
      <c r="D35" s="8">
        <v>0.17912849830453628</v>
      </c>
      <c r="E35" s="9">
        <v>1</v>
      </c>
      <c r="F35" s="10" t="s">
        <v>58</v>
      </c>
      <c r="G35" s="1">
        <f t="shared" si="1"/>
        <v>45600</v>
      </c>
      <c r="H35" s="36">
        <v>0</v>
      </c>
      <c r="I35" s="36">
        <v>100</v>
      </c>
      <c r="J35" s="36">
        <v>0.17912849830453628</v>
      </c>
      <c r="K35" s="37">
        <f t="shared" si="4"/>
        <v>0</v>
      </c>
      <c r="L35">
        <f t="shared" si="8"/>
        <v>0</v>
      </c>
    </row>
    <row r="36" spans="1:12" x14ac:dyDescent="0.3">
      <c r="A36" s="6" t="s">
        <v>116</v>
      </c>
      <c r="B36" s="7" t="s">
        <v>117</v>
      </c>
      <c r="C36" s="27">
        <v>19200</v>
      </c>
      <c r="D36" s="8">
        <v>0.22626757680573006</v>
      </c>
      <c r="E36" s="9">
        <v>3</v>
      </c>
      <c r="F36" s="10" t="s">
        <v>58</v>
      </c>
      <c r="G36" s="1">
        <f t="shared" si="1"/>
        <v>57600</v>
      </c>
      <c r="H36" s="36">
        <v>0</v>
      </c>
      <c r="I36" s="36">
        <v>100</v>
      </c>
      <c r="J36" s="36">
        <v>0.22626757680573006</v>
      </c>
      <c r="K36" s="37">
        <f t="shared" si="4"/>
        <v>0</v>
      </c>
      <c r="L36">
        <f t="shared" si="8"/>
        <v>0</v>
      </c>
    </row>
    <row r="37" spans="1:12" x14ac:dyDescent="0.3">
      <c r="A37" s="6" t="s">
        <v>118</v>
      </c>
      <c r="B37" s="7" t="s">
        <v>119</v>
      </c>
      <c r="C37" s="27">
        <v>90000</v>
      </c>
      <c r="D37" s="8">
        <v>0.35354308875895318</v>
      </c>
      <c r="E37" s="9">
        <v>1</v>
      </c>
      <c r="F37" s="10" t="s">
        <v>58</v>
      </c>
      <c r="G37" s="1">
        <f t="shared" si="1"/>
        <v>90000</v>
      </c>
      <c r="H37" s="36">
        <v>0</v>
      </c>
      <c r="I37" s="36">
        <v>100</v>
      </c>
      <c r="J37" s="36">
        <v>0.35354308875895318</v>
      </c>
      <c r="K37" s="37">
        <f t="shared" si="4"/>
        <v>0</v>
      </c>
      <c r="L37">
        <f t="shared" si="8"/>
        <v>0</v>
      </c>
    </row>
    <row r="38" spans="1:12" x14ac:dyDescent="0.3">
      <c r="A38" s="6" t="s">
        <v>120</v>
      </c>
      <c r="B38" s="7" t="s">
        <v>121</v>
      </c>
      <c r="C38" s="27">
        <v>38400</v>
      </c>
      <c r="D38" s="8">
        <v>0.45253515361146013</v>
      </c>
      <c r="E38" s="9">
        <v>3</v>
      </c>
      <c r="F38" s="10" t="s">
        <v>58</v>
      </c>
      <c r="G38" s="1">
        <f t="shared" si="1"/>
        <v>115200</v>
      </c>
      <c r="H38" s="36">
        <v>0</v>
      </c>
      <c r="I38" s="36">
        <v>100</v>
      </c>
      <c r="J38" s="36">
        <v>0.45253515361146013</v>
      </c>
      <c r="K38" s="37">
        <f t="shared" si="4"/>
        <v>0</v>
      </c>
      <c r="L38">
        <f t="shared" si="8"/>
        <v>0</v>
      </c>
    </row>
    <row r="39" spans="1:12" x14ac:dyDescent="0.3">
      <c r="A39" s="6" t="s">
        <v>122</v>
      </c>
      <c r="B39" s="7" t="s">
        <v>123</v>
      </c>
      <c r="C39" s="27">
        <v>38000</v>
      </c>
      <c r="D39" s="8">
        <v>0.44782124576134069</v>
      </c>
      <c r="E39" s="9">
        <v>3</v>
      </c>
      <c r="F39" s="10" t="s">
        <v>58</v>
      </c>
      <c r="G39" s="1">
        <f t="shared" si="1"/>
        <v>114000</v>
      </c>
      <c r="H39" s="36">
        <v>0</v>
      </c>
      <c r="I39" s="36">
        <v>100</v>
      </c>
      <c r="J39" s="36">
        <v>0.44782124576134069</v>
      </c>
      <c r="K39" s="37">
        <f t="shared" si="4"/>
        <v>0</v>
      </c>
      <c r="L39">
        <f t="shared" si="8"/>
        <v>0</v>
      </c>
    </row>
    <row r="40" spans="1:12" x14ac:dyDescent="0.3">
      <c r="A40" s="6" t="s">
        <v>124</v>
      </c>
      <c r="B40" s="7" t="s">
        <v>125</v>
      </c>
      <c r="C40" s="27">
        <v>78400</v>
      </c>
      <c r="D40" s="8">
        <v>0.92392593862339767</v>
      </c>
      <c r="E40" s="9">
        <v>3</v>
      </c>
      <c r="F40" s="10" t="s">
        <v>58</v>
      </c>
      <c r="G40" s="1">
        <f t="shared" si="1"/>
        <v>235200</v>
      </c>
      <c r="H40" s="36">
        <v>0</v>
      </c>
      <c r="I40" s="36">
        <v>100</v>
      </c>
      <c r="J40" s="36">
        <v>0.92392593862339767</v>
      </c>
      <c r="K40" s="37">
        <f t="shared" si="4"/>
        <v>0</v>
      </c>
      <c r="L40">
        <f t="shared" si="8"/>
        <v>0</v>
      </c>
    </row>
    <row r="41" spans="1:12" x14ac:dyDescent="0.3">
      <c r="A41" s="6" t="s">
        <v>126</v>
      </c>
      <c r="B41" s="7" t="s">
        <v>127</v>
      </c>
      <c r="C41" s="27">
        <v>105920</v>
      </c>
      <c r="D41" s="8">
        <v>6.2412139935580537</v>
      </c>
      <c r="E41" s="9">
        <v>15</v>
      </c>
      <c r="F41" s="10" t="s">
        <v>58</v>
      </c>
      <c r="G41" s="1">
        <f t="shared" si="1"/>
        <v>1588800</v>
      </c>
      <c r="H41" s="36">
        <v>0</v>
      </c>
      <c r="I41" s="36">
        <v>100</v>
      </c>
      <c r="J41" s="36">
        <v>6.2412139935580537</v>
      </c>
      <c r="K41" s="37">
        <f t="shared" si="4"/>
        <v>0</v>
      </c>
      <c r="L41">
        <f t="shared" si="8"/>
        <v>0</v>
      </c>
    </row>
    <row r="42" spans="1:12" x14ac:dyDescent="0.3">
      <c r="A42" s="6" t="s">
        <v>128</v>
      </c>
      <c r="B42" s="7" t="s">
        <v>129</v>
      </c>
      <c r="C42" s="27">
        <v>8664.7559999999994</v>
      </c>
      <c r="D42" s="8">
        <v>3.4037384439807465E-2</v>
      </c>
      <c r="E42" s="9">
        <v>1</v>
      </c>
      <c r="F42" s="10" t="s">
        <v>58</v>
      </c>
      <c r="G42" s="1">
        <f t="shared" si="1"/>
        <v>8664.7559999999994</v>
      </c>
      <c r="H42" s="36">
        <v>0</v>
      </c>
      <c r="I42" s="36">
        <v>100</v>
      </c>
      <c r="J42" s="36">
        <v>3.4037384439807465E-2</v>
      </c>
      <c r="K42" s="37">
        <f t="shared" si="4"/>
        <v>0</v>
      </c>
      <c r="L42">
        <f t="shared" si="8"/>
        <v>0</v>
      </c>
    </row>
    <row r="43" spans="1:12" x14ac:dyDescent="0.3">
      <c r="A43" s="6" t="s">
        <v>130</v>
      </c>
      <c r="B43" s="7" t="s">
        <v>131</v>
      </c>
      <c r="C43" s="27">
        <v>66216.051999999996</v>
      </c>
      <c r="D43" s="8">
        <v>7.8034091831678198</v>
      </c>
      <c r="E43" s="9">
        <v>30</v>
      </c>
      <c r="F43" s="10" t="s">
        <v>58</v>
      </c>
      <c r="G43" s="1">
        <f t="shared" si="1"/>
        <v>1986481.5599999998</v>
      </c>
      <c r="H43" s="36">
        <v>0</v>
      </c>
      <c r="I43" s="36">
        <v>100</v>
      </c>
      <c r="J43" s="36">
        <v>7.8034091831678198</v>
      </c>
      <c r="K43" s="37">
        <f t="shared" si="4"/>
        <v>0</v>
      </c>
      <c r="L43">
        <f t="shared" si="8"/>
        <v>0</v>
      </c>
    </row>
    <row r="44" spans="1:12" x14ac:dyDescent="0.3">
      <c r="A44" s="6" t="s">
        <v>132</v>
      </c>
      <c r="B44" s="7" t="s">
        <v>133</v>
      </c>
      <c r="C44" s="27">
        <v>8978.3504347826074</v>
      </c>
      <c r="D44" s="8">
        <v>0.81119306808318525</v>
      </c>
      <c r="E44" s="9">
        <v>23</v>
      </c>
      <c r="F44" s="10" t="s">
        <v>58</v>
      </c>
      <c r="G44" s="1">
        <f t="shared" si="1"/>
        <v>206502.05999999997</v>
      </c>
      <c r="H44" s="36">
        <v>0</v>
      </c>
      <c r="I44" s="36">
        <v>100</v>
      </c>
      <c r="J44" s="36">
        <v>0.81119306808318525</v>
      </c>
      <c r="K44" s="37">
        <f t="shared" si="4"/>
        <v>0</v>
      </c>
      <c r="L44">
        <f t="shared" si="8"/>
        <v>0</v>
      </c>
    </row>
    <row r="45" spans="1:12" x14ac:dyDescent="0.3">
      <c r="A45" s="11">
        <v>4</v>
      </c>
      <c r="B45" s="3" t="s">
        <v>6</v>
      </c>
      <c r="C45" s="28">
        <v>2082642.5999999999</v>
      </c>
      <c r="D45" s="12">
        <f>0.08181154*100</f>
        <v>8.1811539999999994</v>
      </c>
      <c r="E45" s="13"/>
      <c r="F45" s="13"/>
      <c r="G45" s="1"/>
      <c r="H45" s="36">
        <f>SUM(L46:L72)</f>
        <v>0</v>
      </c>
      <c r="I45" s="36">
        <f>AVERAGE(I46:I72)</f>
        <v>14.722222222222214</v>
      </c>
      <c r="J45" s="36">
        <f>0.109556413087872*100</f>
        <v>10.9556413087872</v>
      </c>
      <c r="K45" s="39">
        <f t="shared" ref="K45" si="9">SUM(K46:K72)</f>
        <v>0</v>
      </c>
    </row>
    <row r="46" spans="1:12" x14ac:dyDescent="0.3">
      <c r="A46" s="11" t="s">
        <v>7</v>
      </c>
      <c r="B46" s="3" t="s">
        <v>134</v>
      </c>
      <c r="C46" s="28">
        <v>166415.30399999997</v>
      </c>
      <c r="D46" s="14"/>
      <c r="E46" s="13"/>
      <c r="F46" s="13"/>
      <c r="G46" s="1"/>
      <c r="H46" s="36"/>
      <c r="I46" s="36"/>
      <c r="J46" s="36"/>
      <c r="K46" s="37"/>
    </row>
    <row r="47" spans="1:12" x14ac:dyDescent="0.3">
      <c r="A47" s="6" t="s">
        <v>135</v>
      </c>
      <c r="B47" s="7" t="s">
        <v>136</v>
      </c>
      <c r="C47" s="27">
        <v>2646.2535999999996</v>
      </c>
      <c r="D47" s="8">
        <v>0.15592744523058322</v>
      </c>
      <c r="E47" s="9">
        <v>15</v>
      </c>
      <c r="F47" s="10" t="s">
        <v>58</v>
      </c>
      <c r="G47" s="1">
        <f t="shared" si="1"/>
        <v>39693.803999999996</v>
      </c>
      <c r="H47" s="36">
        <v>0</v>
      </c>
      <c r="I47" s="36">
        <v>100</v>
      </c>
      <c r="J47" s="36">
        <v>0.15592744523058322</v>
      </c>
      <c r="K47" s="37">
        <f t="shared" ref="K47:K49" si="10">G47*(H47/100)</f>
        <v>0</v>
      </c>
      <c r="L47">
        <f t="shared" ref="L47:L49" si="11">H47*D47/100</f>
        <v>0</v>
      </c>
    </row>
    <row r="48" spans="1:12" x14ac:dyDescent="0.3">
      <c r="A48" s="6" t="s">
        <v>137</v>
      </c>
      <c r="B48" s="7" t="s">
        <v>138</v>
      </c>
      <c r="C48" s="27">
        <v>3073.1055999999999</v>
      </c>
      <c r="D48" s="8">
        <v>0.18107920765107266</v>
      </c>
      <c r="E48" s="9">
        <v>15</v>
      </c>
      <c r="F48" s="10" t="s">
        <v>58</v>
      </c>
      <c r="G48" s="1">
        <f t="shared" si="1"/>
        <v>46096.583999999995</v>
      </c>
      <c r="H48" s="36">
        <v>0</v>
      </c>
      <c r="I48" s="36">
        <v>100</v>
      </c>
      <c r="J48" s="36">
        <v>0.18107920765107266</v>
      </c>
      <c r="K48" s="37">
        <f t="shared" si="10"/>
        <v>0</v>
      </c>
      <c r="L48">
        <f t="shared" si="11"/>
        <v>0</v>
      </c>
    </row>
    <row r="49" spans="1:12" x14ac:dyDescent="0.3">
      <c r="A49" s="6" t="s">
        <v>139</v>
      </c>
      <c r="B49" s="7" t="s">
        <v>140</v>
      </c>
      <c r="C49" s="27">
        <v>26874.971999999994</v>
      </c>
      <c r="D49" s="8">
        <v>0.31671535370634601</v>
      </c>
      <c r="E49" s="9">
        <v>3</v>
      </c>
      <c r="F49" s="10" t="s">
        <v>58</v>
      </c>
      <c r="G49" s="1">
        <f t="shared" si="1"/>
        <v>80624.915999999983</v>
      </c>
      <c r="H49" s="36">
        <v>0</v>
      </c>
      <c r="I49" s="36">
        <v>0</v>
      </c>
      <c r="J49" s="36">
        <v>0</v>
      </c>
      <c r="K49" s="37">
        <f t="shared" si="10"/>
        <v>0</v>
      </c>
      <c r="L49">
        <f t="shared" si="11"/>
        <v>0</v>
      </c>
    </row>
    <row r="50" spans="1:12" x14ac:dyDescent="0.3">
      <c r="A50" s="11" t="s">
        <v>414</v>
      </c>
      <c r="B50" s="3" t="s">
        <v>9</v>
      </c>
      <c r="C50" s="28">
        <v>640797.53999999992</v>
      </c>
      <c r="D50" s="12"/>
      <c r="E50" s="13"/>
      <c r="F50" s="13"/>
      <c r="G50" s="1"/>
      <c r="H50" s="36"/>
      <c r="I50" s="36"/>
      <c r="J50" s="36"/>
      <c r="K50" s="40"/>
    </row>
    <row r="51" spans="1:12" x14ac:dyDescent="0.3">
      <c r="A51" s="6" t="s">
        <v>415</v>
      </c>
      <c r="B51" s="7" t="s">
        <v>142</v>
      </c>
      <c r="C51" s="27">
        <v>4974.7342999999992</v>
      </c>
      <c r="D51" s="8">
        <v>2.3450439069028115</v>
      </c>
      <c r="E51" s="9">
        <v>120</v>
      </c>
      <c r="F51" s="15" t="s">
        <v>143</v>
      </c>
      <c r="G51" s="1">
        <f t="shared" si="1"/>
        <v>596968.11599999992</v>
      </c>
      <c r="H51" s="36">
        <v>0</v>
      </c>
      <c r="I51" s="36">
        <v>0.83333333333333337</v>
      </c>
      <c r="J51" s="36">
        <v>1.9542032557523428E-2</v>
      </c>
      <c r="K51" s="37">
        <f t="shared" ref="K51:K52" si="12">G51*(H51/100)</f>
        <v>0</v>
      </c>
      <c r="L51">
        <f t="shared" ref="L51:L52" si="13">H51*D51/100</f>
        <v>0</v>
      </c>
    </row>
    <row r="52" spans="1:12" x14ac:dyDescent="0.3">
      <c r="A52" s="6" t="s">
        <v>416</v>
      </c>
      <c r="B52" s="7" t="s">
        <v>145</v>
      </c>
      <c r="C52" s="27">
        <v>21914.711999999996</v>
      </c>
      <c r="D52" s="8">
        <v>0.1721732215498421</v>
      </c>
      <c r="E52" s="9">
        <v>2</v>
      </c>
      <c r="F52" s="10" t="s">
        <v>146</v>
      </c>
      <c r="G52" s="1">
        <f t="shared" si="1"/>
        <v>43829.423999999992</v>
      </c>
      <c r="H52" s="36">
        <v>0</v>
      </c>
      <c r="I52" s="36">
        <v>0</v>
      </c>
      <c r="J52" s="36">
        <v>0</v>
      </c>
      <c r="K52" s="37">
        <f t="shared" si="12"/>
        <v>0</v>
      </c>
      <c r="L52">
        <f t="shared" si="13"/>
        <v>0</v>
      </c>
    </row>
    <row r="53" spans="1:12" x14ac:dyDescent="0.3">
      <c r="A53" s="11" t="s">
        <v>8</v>
      </c>
      <c r="B53" s="3" t="s">
        <v>11</v>
      </c>
      <c r="C53" s="28">
        <v>285361.03200000001</v>
      </c>
      <c r="D53" s="12"/>
      <c r="E53" s="13"/>
      <c r="F53" s="13"/>
      <c r="G53" s="1"/>
      <c r="H53" s="36"/>
      <c r="I53" s="36"/>
      <c r="J53" s="36"/>
      <c r="K53" s="40"/>
    </row>
    <row r="54" spans="1:12" x14ac:dyDescent="0.3">
      <c r="A54" s="6" t="s">
        <v>141</v>
      </c>
      <c r="B54" s="7" t="s">
        <v>148</v>
      </c>
      <c r="C54" s="27">
        <v>8611.5775999999987</v>
      </c>
      <c r="D54" s="8">
        <v>0.50742729063190206</v>
      </c>
      <c r="E54" s="9">
        <v>15</v>
      </c>
      <c r="F54" s="10" t="s">
        <v>58</v>
      </c>
      <c r="G54" s="1">
        <f t="shared" si="1"/>
        <v>129173.66399999998</v>
      </c>
      <c r="H54" s="36">
        <v>0</v>
      </c>
      <c r="I54" s="36">
        <v>100</v>
      </c>
      <c r="J54" s="36">
        <v>0.50742729063190206</v>
      </c>
      <c r="K54" s="37">
        <f t="shared" ref="K54:K58" si="14">G54*(H54/100)</f>
        <v>0</v>
      </c>
      <c r="L54">
        <f t="shared" ref="L54:L58" si="15">H54*D54/100</f>
        <v>0</v>
      </c>
    </row>
    <row r="55" spans="1:12" x14ac:dyDescent="0.3">
      <c r="A55" s="6" t="s">
        <v>144</v>
      </c>
      <c r="B55" s="7" t="s">
        <v>150</v>
      </c>
      <c r="C55" s="27">
        <v>2598.4079999999999</v>
      </c>
      <c r="D55" s="8">
        <v>0.3776668892945671</v>
      </c>
      <c r="E55" s="9">
        <v>37</v>
      </c>
      <c r="F55" s="10" t="s">
        <v>58</v>
      </c>
      <c r="G55" s="1">
        <f t="shared" si="1"/>
        <v>96141.09599999999</v>
      </c>
      <c r="H55" s="36">
        <v>0</v>
      </c>
      <c r="I55" s="36">
        <v>0</v>
      </c>
      <c r="J55" s="36">
        <v>0</v>
      </c>
      <c r="K55" s="37">
        <f t="shared" si="14"/>
        <v>0</v>
      </c>
      <c r="L55">
        <f t="shared" si="15"/>
        <v>0</v>
      </c>
    </row>
    <row r="56" spans="1:12" x14ac:dyDescent="0.3">
      <c r="A56" s="6" t="s">
        <v>417</v>
      </c>
      <c r="B56" s="7" t="s">
        <v>152</v>
      </c>
      <c r="C56" s="27">
        <v>3797.96</v>
      </c>
      <c r="D56" s="8">
        <v>0.22379041823049231</v>
      </c>
      <c r="E56" s="9">
        <v>15</v>
      </c>
      <c r="F56" s="10" t="s">
        <v>58</v>
      </c>
      <c r="G56" s="1">
        <f t="shared" si="1"/>
        <v>56969.4</v>
      </c>
      <c r="H56" s="36">
        <v>0</v>
      </c>
      <c r="I56" s="36">
        <v>0</v>
      </c>
      <c r="J56" s="36">
        <v>0</v>
      </c>
      <c r="K56" s="37">
        <f t="shared" si="14"/>
        <v>0</v>
      </c>
      <c r="L56">
        <f t="shared" si="15"/>
        <v>0</v>
      </c>
    </row>
    <row r="57" spans="1:12" x14ac:dyDescent="0.3">
      <c r="A57" s="6" t="s">
        <v>418</v>
      </c>
      <c r="B57" s="7" t="s">
        <v>154</v>
      </c>
      <c r="C57" s="27">
        <v>2537.2800000000002</v>
      </c>
      <c r="D57" s="8">
        <v>9.9670867582924098E-3</v>
      </c>
      <c r="E57" s="9">
        <v>1</v>
      </c>
      <c r="F57" s="10" t="s">
        <v>58</v>
      </c>
      <c r="G57" s="1">
        <f t="shared" si="1"/>
        <v>2537.2800000000002</v>
      </c>
      <c r="H57" s="36">
        <v>0</v>
      </c>
      <c r="I57" s="36">
        <v>0</v>
      </c>
      <c r="J57" s="36">
        <v>0</v>
      </c>
      <c r="K57" s="37">
        <f t="shared" si="14"/>
        <v>0</v>
      </c>
      <c r="L57">
        <f t="shared" si="15"/>
        <v>0</v>
      </c>
    </row>
    <row r="58" spans="1:12" x14ac:dyDescent="0.3">
      <c r="A58" s="6" t="s">
        <v>419</v>
      </c>
      <c r="B58" s="7" t="s">
        <v>156</v>
      </c>
      <c r="C58" s="27">
        <v>539.59199999999998</v>
      </c>
      <c r="D58" s="8">
        <v>2.1196558038846787E-3</v>
      </c>
      <c r="E58" s="9">
        <v>1</v>
      </c>
      <c r="F58" s="10" t="s">
        <v>58</v>
      </c>
      <c r="G58" s="1">
        <f t="shared" si="1"/>
        <v>539.59199999999998</v>
      </c>
      <c r="H58" s="36">
        <v>0</v>
      </c>
      <c r="I58" s="36">
        <v>0</v>
      </c>
      <c r="J58" s="36">
        <v>0</v>
      </c>
      <c r="K58" s="37">
        <f t="shared" si="14"/>
        <v>0</v>
      </c>
      <c r="L58">
        <f t="shared" si="15"/>
        <v>0</v>
      </c>
    </row>
    <row r="59" spans="1:12" x14ac:dyDescent="0.3">
      <c r="A59" s="16" t="s">
        <v>10</v>
      </c>
      <c r="B59" s="3" t="s">
        <v>13</v>
      </c>
      <c r="C59" s="28">
        <v>718254.72</v>
      </c>
      <c r="D59" s="12"/>
      <c r="E59" s="13"/>
      <c r="F59" s="13"/>
      <c r="G59" s="1"/>
      <c r="H59" s="36"/>
      <c r="I59" s="36"/>
      <c r="J59" s="36"/>
      <c r="K59" s="40"/>
    </row>
    <row r="60" spans="1:12" x14ac:dyDescent="0.3">
      <c r="A60" s="17" t="s">
        <v>147</v>
      </c>
      <c r="B60" s="7" t="s">
        <v>158</v>
      </c>
      <c r="C60" s="27">
        <v>982.8</v>
      </c>
      <c r="D60" s="8">
        <v>0.46328286350973225</v>
      </c>
      <c r="E60" s="9">
        <v>120</v>
      </c>
      <c r="F60" s="10" t="s">
        <v>143</v>
      </c>
      <c r="G60" s="1">
        <f t="shared" si="1"/>
        <v>117936</v>
      </c>
      <c r="H60" s="36">
        <v>0</v>
      </c>
      <c r="I60" s="36">
        <v>0.83333333333333337</v>
      </c>
      <c r="J60" s="36">
        <v>3.8606905292477688E-3</v>
      </c>
      <c r="K60" s="37">
        <f t="shared" ref="K60:K65" si="16">G60*(H60/100)</f>
        <v>0</v>
      </c>
      <c r="L60">
        <f t="shared" ref="L60:L65" si="17">H60*D60/100</f>
        <v>0</v>
      </c>
    </row>
    <row r="61" spans="1:12" x14ac:dyDescent="0.3">
      <c r="A61" s="17" t="s">
        <v>149</v>
      </c>
      <c r="B61" s="7" t="s">
        <v>160</v>
      </c>
      <c r="C61" s="27">
        <v>1839.2</v>
      </c>
      <c r="D61" s="8">
        <v>0.86698193179395555</v>
      </c>
      <c r="E61" s="9">
        <v>120</v>
      </c>
      <c r="F61" s="10" t="s">
        <v>143</v>
      </c>
      <c r="G61" s="1">
        <f t="shared" si="1"/>
        <v>220704</v>
      </c>
      <c r="H61" s="36">
        <v>0</v>
      </c>
      <c r="I61" s="36">
        <v>0.83333333333333337</v>
      </c>
      <c r="J61" s="36">
        <v>7.2248494316162959E-3</v>
      </c>
      <c r="K61" s="37">
        <f t="shared" si="16"/>
        <v>0</v>
      </c>
      <c r="L61">
        <f t="shared" si="17"/>
        <v>0</v>
      </c>
    </row>
    <row r="62" spans="1:12" x14ac:dyDescent="0.3">
      <c r="A62" s="17" t="s">
        <v>151</v>
      </c>
      <c r="B62" s="7" t="s">
        <v>162</v>
      </c>
      <c r="C62" s="27">
        <v>1831.6</v>
      </c>
      <c r="D62" s="8">
        <v>0.86339936182786481</v>
      </c>
      <c r="E62" s="9">
        <v>120</v>
      </c>
      <c r="F62" s="10" t="s">
        <v>143</v>
      </c>
      <c r="G62" s="1">
        <f t="shared" si="1"/>
        <v>219792</v>
      </c>
      <c r="H62" s="36">
        <v>0</v>
      </c>
      <c r="I62" s="36">
        <v>0.83333333333333337</v>
      </c>
      <c r="J62" s="36">
        <v>7.194994681898873E-3</v>
      </c>
      <c r="K62" s="37">
        <f t="shared" si="16"/>
        <v>0</v>
      </c>
      <c r="L62">
        <f t="shared" si="17"/>
        <v>0</v>
      </c>
    </row>
    <row r="63" spans="1:12" x14ac:dyDescent="0.3">
      <c r="A63" s="17" t="s">
        <v>153</v>
      </c>
      <c r="B63" s="7" t="s">
        <v>163</v>
      </c>
      <c r="C63" s="27">
        <v>730.8</v>
      </c>
      <c r="D63" s="8">
        <v>0.34449238568672397</v>
      </c>
      <c r="E63" s="9">
        <v>120</v>
      </c>
      <c r="F63" s="10" t="s">
        <v>143</v>
      </c>
      <c r="G63" s="1">
        <f t="shared" si="1"/>
        <v>87696</v>
      </c>
      <c r="H63" s="36">
        <v>0</v>
      </c>
      <c r="I63" s="36">
        <v>0.83333333333333337</v>
      </c>
      <c r="J63" s="36">
        <v>2.8707698807226996E-3</v>
      </c>
      <c r="K63" s="37">
        <f t="shared" si="16"/>
        <v>0</v>
      </c>
      <c r="L63">
        <f t="shared" si="17"/>
        <v>0</v>
      </c>
    </row>
    <row r="64" spans="1:12" x14ac:dyDescent="0.3">
      <c r="A64" s="17" t="s">
        <v>155</v>
      </c>
      <c r="B64" s="7" t="s">
        <v>164</v>
      </c>
      <c r="C64" s="27">
        <v>578.54999999999995</v>
      </c>
      <c r="D64" s="8">
        <v>0.2727231386686565</v>
      </c>
      <c r="E64" s="9">
        <v>120</v>
      </c>
      <c r="F64" s="10" t="s">
        <v>143</v>
      </c>
      <c r="G64" s="1">
        <f t="shared" si="1"/>
        <v>69426</v>
      </c>
      <c r="H64" s="36">
        <v>0</v>
      </c>
      <c r="I64" s="36">
        <v>0.83333333333333337</v>
      </c>
      <c r="J64" s="36">
        <v>2.2726928222388042E-3</v>
      </c>
      <c r="K64" s="37">
        <f t="shared" si="16"/>
        <v>0</v>
      </c>
      <c r="L64">
        <f t="shared" si="17"/>
        <v>0</v>
      </c>
    </row>
    <row r="65" spans="1:12" x14ac:dyDescent="0.3">
      <c r="A65" s="17" t="s">
        <v>420</v>
      </c>
      <c r="B65" s="7" t="s">
        <v>165</v>
      </c>
      <c r="C65" s="27">
        <v>1350.36</v>
      </c>
      <c r="D65" s="8">
        <v>1.0609121007478666E-2</v>
      </c>
      <c r="E65" s="9">
        <v>2</v>
      </c>
      <c r="F65" s="10" t="s">
        <v>58</v>
      </c>
      <c r="G65" s="1">
        <f t="shared" si="1"/>
        <v>2700.72</v>
      </c>
      <c r="H65" s="36">
        <v>0</v>
      </c>
      <c r="I65" s="36">
        <v>0</v>
      </c>
      <c r="J65" s="36">
        <v>0</v>
      </c>
      <c r="K65" s="37">
        <f t="shared" si="16"/>
        <v>0</v>
      </c>
      <c r="L65">
        <f t="shared" si="17"/>
        <v>0</v>
      </c>
    </row>
    <row r="66" spans="1:12" x14ac:dyDescent="0.3">
      <c r="A66" s="16" t="s">
        <v>12</v>
      </c>
      <c r="B66" s="3" t="s">
        <v>15</v>
      </c>
      <c r="C66" s="28">
        <v>129716.24400000001</v>
      </c>
      <c r="D66" s="12"/>
      <c r="E66" s="13"/>
      <c r="F66" s="13"/>
      <c r="G66" s="1"/>
      <c r="H66" s="36"/>
      <c r="I66" s="36"/>
      <c r="J66" s="36"/>
      <c r="K66" s="40"/>
    </row>
    <row r="67" spans="1:12" x14ac:dyDescent="0.3">
      <c r="A67" s="17" t="s">
        <v>157</v>
      </c>
      <c r="B67" s="7" t="s">
        <v>167</v>
      </c>
      <c r="C67" s="27">
        <v>222.40259999999998</v>
      </c>
      <c r="D67" s="8">
        <v>0.10483853620269594</v>
      </c>
      <c r="E67" s="9">
        <v>120</v>
      </c>
      <c r="F67" s="10" t="s">
        <v>58</v>
      </c>
      <c r="G67" s="1">
        <f t="shared" si="1"/>
        <v>26688.311999999998</v>
      </c>
      <c r="H67" s="36">
        <v>0</v>
      </c>
      <c r="I67" s="36">
        <v>0.83333333333333337</v>
      </c>
      <c r="J67" s="36">
        <v>8.7365446835579953E-4</v>
      </c>
      <c r="K67" s="37">
        <f t="shared" ref="K67:K69" si="18">G67*(H67/100)</f>
        <v>0</v>
      </c>
      <c r="L67">
        <f t="shared" ref="L67:L69" si="19">H67*D67/100</f>
        <v>0</v>
      </c>
    </row>
    <row r="68" spans="1:12" x14ac:dyDescent="0.3">
      <c r="A68" s="17" t="s">
        <v>159</v>
      </c>
      <c r="B68" s="7" t="s">
        <v>169</v>
      </c>
      <c r="C68" s="27">
        <v>525.50400000000002</v>
      </c>
      <c r="D68" s="8">
        <v>0.24771774308691324</v>
      </c>
      <c r="E68" s="9">
        <v>120</v>
      </c>
      <c r="F68" s="10" t="s">
        <v>58</v>
      </c>
      <c r="G68" s="1">
        <f t="shared" ref="G68:G131" si="20">C68*E68</f>
        <v>63060.480000000003</v>
      </c>
      <c r="H68" s="36">
        <v>0</v>
      </c>
      <c r="I68" s="36">
        <v>0.83333333333333337</v>
      </c>
      <c r="J68" s="36">
        <v>2.0643145257242769E-3</v>
      </c>
      <c r="K68" s="37">
        <f t="shared" si="18"/>
        <v>0</v>
      </c>
      <c r="L68">
        <f t="shared" si="19"/>
        <v>0</v>
      </c>
    </row>
    <row r="69" spans="1:12" x14ac:dyDescent="0.3">
      <c r="A69" s="17" t="s">
        <v>161</v>
      </c>
      <c r="B69" s="7" t="s">
        <v>170</v>
      </c>
      <c r="C69" s="27">
        <v>333.06209999999999</v>
      </c>
      <c r="D69" s="8">
        <v>0.15700240477672445</v>
      </c>
      <c r="E69" s="9">
        <v>120</v>
      </c>
      <c r="F69" s="10" t="s">
        <v>58</v>
      </c>
      <c r="G69" s="1">
        <f t="shared" si="20"/>
        <v>39967.451999999997</v>
      </c>
      <c r="H69" s="36">
        <v>0</v>
      </c>
      <c r="I69" s="36">
        <v>0.83333333333333337</v>
      </c>
      <c r="J69" s="36">
        <v>1.3083533731393705E-3</v>
      </c>
      <c r="K69" s="37">
        <f t="shared" si="18"/>
        <v>0</v>
      </c>
      <c r="L69">
        <f t="shared" si="19"/>
        <v>0</v>
      </c>
    </row>
    <row r="70" spans="1:12" x14ac:dyDescent="0.3">
      <c r="A70" s="16" t="s">
        <v>14</v>
      </c>
      <c r="B70" s="3" t="s">
        <v>16</v>
      </c>
      <c r="C70" s="28">
        <v>142097.76</v>
      </c>
      <c r="D70" s="12"/>
      <c r="E70" s="13"/>
      <c r="F70" s="13"/>
      <c r="G70" s="1">
        <f t="shared" si="20"/>
        <v>0</v>
      </c>
      <c r="H70" s="36"/>
      <c r="I70" s="36"/>
      <c r="J70" s="36"/>
      <c r="K70" s="40"/>
    </row>
    <row r="71" spans="1:12" x14ac:dyDescent="0.3">
      <c r="A71" s="17" t="s">
        <v>166</v>
      </c>
      <c r="B71" s="7" t="s">
        <v>171</v>
      </c>
      <c r="C71" s="27">
        <v>816.15599999999995</v>
      </c>
      <c r="D71" s="8">
        <v>0.38472841753220294</v>
      </c>
      <c r="E71" s="9">
        <v>120</v>
      </c>
      <c r="F71" s="10" t="s">
        <v>143</v>
      </c>
      <c r="G71" s="1">
        <f t="shared" si="20"/>
        <v>97938.72</v>
      </c>
      <c r="H71" s="36">
        <v>0</v>
      </c>
      <c r="I71" s="36">
        <v>0.83333333333333337</v>
      </c>
      <c r="J71" s="36">
        <v>3.2060701461016912E-3</v>
      </c>
      <c r="K71" s="37">
        <f t="shared" ref="K71:K72" si="21">G71*(H71/100)</f>
        <v>0</v>
      </c>
      <c r="L71">
        <f t="shared" ref="L71:L72" si="22">H71*D71/100</f>
        <v>0</v>
      </c>
    </row>
    <row r="72" spans="1:12" x14ac:dyDescent="0.3">
      <c r="A72" s="17" t="s">
        <v>168</v>
      </c>
      <c r="B72" s="7" t="s">
        <v>172</v>
      </c>
      <c r="C72" s="27">
        <v>367.99200000000002</v>
      </c>
      <c r="D72" s="8">
        <v>0.17346803775811295</v>
      </c>
      <c r="E72" s="9">
        <v>120</v>
      </c>
      <c r="F72" s="10" t="s">
        <v>143</v>
      </c>
      <c r="G72" s="1">
        <f t="shared" si="20"/>
        <v>44159.040000000001</v>
      </c>
      <c r="H72" s="36">
        <v>0</v>
      </c>
      <c r="I72" s="36">
        <v>0.83333333333333337</v>
      </c>
      <c r="J72" s="36">
        <v>1.445566981317608E-3</v>
      </c>
      <c r="K72" s="37">
        <f t="shared" si="21"/>
        <v>0</v>
      </c>
      <c r="L72">
        <f t="shared" si="22"/>
        <v>0</v>
      </c>
    </row>
    <row r="73" spans="1:12" x14ac:dyDescent="0.3">
      <c r="A73" s="11">
        <v>5</v>
      </c>
      <c r="B73" s="3" t="s">
        <v>173</v>
      </c>
      <c r="C73" s="28">
        <v>336280.71599999996</v>
      </c>
      <c r="D73" s="12">
        <f>0.0132*100</f>
        <v>1.32</v>
      </c>
      <c r="E73" s="13"/>
      <c r="F73" s="13"/>
      <c r="G73" s="1"/>
      <c r="H73" s="36">
        <f>SUM(L74:L88)</f>
        <v>1.8824947002978463E-2</v>
      </c>
      <c r="I73" s="36">
        <f>AVERAGE(I74:I88)</f>
        <v>41.987179487179482</v>
      </c>
      <c r="J73" s="36">
        <f>0.42784181832181*100</f>
        <v>42.784181832180998</v>
      </c>
      <c r="K73" s="39">
        <f t="shared" ref="K73" si="23">SUM(K74:K88)</f>
        <v>4792.1887999999999</v>
      </c>
    </row>
    <row r="74" spans="1:12" x14ac:dyDescent="0.3">
      <c r="A74" s="11" t="s">
        <v>174</v>
      </c>
      <c r="B74" s="3" t="s">
        <v>175</v>
      </c>
      <c r="C74" s="28">
        <v>0</v>
      </c>
      <c r="D74" s="14"/>
      <c r="E74" s="13"/>
      <c r="F74" s="13"/>
      <c r="G74" s="1"/>
      <c r="H74" s="36"/>
      <c r="I74" s="36"/>
      <c r="J74" s="36"/>
      <c r="K74" s="37"/>
    </row>
    <row r="75" spans="1:12" x14ac:dyDescent="0.3">
      <c r="A75" s="6" t="s">
        <v>176</v>
      </c>
      <c r="B75" s="7" t="s">
        <v>177</v>
      </c>
      <c r="C75" s="30">
        <v>0</v>
      </c>
      <c r="D75" s="8">
        <v>0</v>
      </c>
      <c r="E75" s="9">
        <v>1</v>
      </c>
      <c r="F75" s="10" t="s">
        <v>58</v>
      </c>
      <c r="G75" s="1"/>
      <c r="H75" s="36">
        <v>0</v>
      </c>
      <c r="I75" s="36">
        <v>0</v>
      </c>
      <c r="J75" s="36">
        <v>0</v>
      </c>
      <c r="K75" s="37">
        <f t="shared" ref="K75:K77" si="24">G75*(H75/100)</f>
        <v>0</v>
      </c>
      <c r="L75">
        <f t="shared" ref="L75:L77" si="25">H75*D75/100</f>
        <v>0</v>
      </c>
    </row>
    <row r="76" spans="1:12" x14ac:dyDescent="0.3">
      <c r="A76" s="6" t="s">
        <v>178</v>
      </c>
      <c r="B76" s="7" t="s">
        <v>175</v>
      </c>
      <c r="C76" s="31">
        <v>0</v>
      </c>
      <c r="D76" s="8">
        <v>0</v>
      </c>
      <c r="E76" s="18">
        <v>1</v>
      </c>
      <c r="F76" s="10" t="s">
        <v>58</v>
      </c>
      <c r="G76" s="1"/>
      <c r="H76" s="36">
        <v>0</v>
      </c>
      <c r="I76" s="36">
        <v>0</v>
      </c>
      <c r="J76" s="36">
        <v>0</v>
      </c>
      <c r="K76" s="37">
        <f t="shared" si="24"/>
        <v>0</v>
      </c>
      <c r="L76">
        <f t="shared" si="25"/>
        <v>0</v>
      </c>
    </row>
    <row r="77" spans="1:12" x14ac:dyDescent="0.3">
      <c r="A77" s="6" t="s">
        <v>179</v>
      </c>
      <c r="B77" s="7" t="s">
        <v>180</v>
      </c>
      <c r="C77" s="31">
        <v>0</v>
      </c>
      <c r="D77" s="8">
        <v>0</v>
      </c>
      <c r="E77" s="18">
        <v>1</v>
      </c>
      <c r="F77" s="10" t="s">
        <v>58</v>
      </c>
      <c r="G77" s="1"/>
      <c r="H77" s="36">
        <v>0</v>
      </c>
      <c r="I77" s="36">
        <v>0</v>
      </c>
      <c r="J77" s="36">
        <v>0</v>
      </c>
      <c r="K77" s="37">
        <f t="shared" si="24"/>
        <v>0</v>
      </c>
      <c r="L77">
        <f t="shared" si="25"/>
        <v>0</v>
      </c>
    </row>
    <row r="78" spans="1:12" x14ac:dyDescent="0.3">
      <c r="A78" s="11" t="s">
        <v>17</v>
      </c>
      <c r="B78" s="3" t="s">
        <v>18</v>
      </c>
      <c r="C78" s="28">
        <v>336280.71599999996</v>
      </c>
      <c r="D78" s="12"/>
      <c r="E78" s="13"/>
      <c r="F78" s="13"/>
      <c r="G78" s="1"/>
      <c r="H78" s="36"/>
      <c r="I78" s="36"/>
      <c r="J78" s="36"/>
      <c r="K78" s="40"/>
    </row>
    <row r="79" spans="1:12" x14ac:dyDescent="0.3">
      <c r="A79" s="6" t="s">
        <v>181</v>
      </c>
      <c r="B79" s="7" t="s">
        <v>182</v>
      </c>
      <c r="C79" s="30">
        <v>36067.361999999994</v>
      </c>
      <c r="D79" s="8">
        <v>0.56672740288299084</v>
      </c>
      <c r="E79" s="9">
        <v>4</v>
      </c>
      <c r="F79" s="15" t="s">
        <v>146</v>
      </c>
      <c r="G79" s="1">
        <f t="shared" si="20"/>
        <v>144269.44799999997</v>
      </c>
      <c r="H79" s="36">
        <v>0</v>
      </c>
      <c r="I79" s="36">
        <v>0</v>
      </c>
      <c r="J79" s="36">
        <v>0</v>
      </c>
      <c r="K79" s="37">
        <f t="shared" ref="K79:K88" si="26">G79*(H79/100)</f>
        <v>0</v>
      </c>
      <c r="L79">
        <f t="shared" ref="L79:L88" si="27">H79*D79/100</f>
        <v>0</v>
      </c>
    </row>
    <row r="80" spans="1:12" x14ac:dyDescent="0.3">
      <c r="A80" s="6" t="s">
        <v>183</v>
      </c>
      <c r="B80" s="7" t="s">
        <v>184</v>
      </c>
      <c r="C80" s="30">
        <v>10440.575999999999</v>
      </c>
      <c r="D80" s="8">
        <v>4.1013260971806624E-2</v>
      </c>
      <c r="E80" s="9">
        <v>1</v>
      </c>
      <c r="F80" s="10" t="s">
        <v>58</v>
      </c>
      <c r="G80" s="1">
        <f t="shared" si="20"/>
        <v>10440.575999999999</v>
      </c>
      <c r="H80" s="36">
        <v>0</v>
      </c>
      <c r="I80" s="36">
        <v>0</v>
      </c>
      <c r="J80" s="36">
        <v>0</v>
      </c>
      <c r="K80" s="37">
        <f t="shared" si="26"/>
        <v>0</v>
      </c>
      <c r="L80">
        <f t="shared" si="27"/>
        <v>0</v>
      </c>
    </row>
    <row r="81" spans="1:12" x14ac:dyDescent="0.3">
      <c r="A81" s="6" t="s">
        <v>185</v>
      </c>
      <c r="B81" s="7" t="s">
        <v>186</v>
      </c>
      <c r="C81" s="30">
        <v>11471.111999999999</v>
      </c>
      <c r="D81" s="8">
        <v>4.5061470755332143E-2</v>
      </c>
      <c r="E81" s="9">
        <v>1</v>
      </c>
      <c r="F81" s="10" t="s">
        <v>58</v>
      </c>
      <c r="G81" s="1">
        <f t="shared" si="20"/>
        <v>11471.111999999999</v>
      </c>
      <c r="H81" s="36">
        <v>0</v>
      </c>
      <c r="I81" s="36">
        <v>0</v>
      </c>
      <c r="J81" s="36">
        <v>0</v>
      </c>
      <c r="K81" s="37">
        <f t="shared" si="26"/>
        <v>0</v>
      </c>
      <c r="L81">
        <f t="shared" si="27"/>
        <v>0</v>
      </c>
    </row>
    <row r="82" spans="1:12" x14ac:dyDescent="0.3">
      <c r="A82" s="6" t="s">
        <v>187</v>
      </c>
      <c r="B82" s="7" t="s">
        <v>188</v>
      </c>
      <c r="C82" s="30">
        <v>18207.755999999998</v>
      </c>
      <c r="D82" s="8">
        <v>0.21457420985364542</v>
      </c>
      <c r="E82" s="9">
        <v>3</v>
      </c>
      <c r="F82" s="10" t="s">
        <v>58</v>
      </c>
      <c r="G82" s="1">
        <f t="shared" si="20"/>
        <v>54623.267999999996</v>
      </c>
      <c r="H82" s="36">
        <v>0</v>
      </c>
      <c r="I82" s="36">
        <v>100</v>
      </c>
      <c r="J82" s="36">
        <v>0.21457420985364542</v>
      </c>
      <c r="K82" s="37">
        <f t="shared" si="26"/>
        <v>0</v>
      </c>
      <c r="L82">
        <f t="shared" si="27"/>
        <v>0</v>
      </c>
    </row>
    <row r="83" spans="1:12" x14ac:dyDescent="0.3">
      <c r="A83" s="6" t="s">
        <v>189</v>
      </c>
      <c r="B83" s="7" t="s">
        <v>190</v>
      </c>
      <c r="C83" s="30">
        <v>2204.1239999999998</v>
      </c>
      <c r="D83" s="8">
        <v>1.7316729043727531E-2</v>
      </c>
      <c r="E83" s="9">
        <v>2</v>
      </c>
      <c r="F83" s="10" t="s">
        <v>58</v>
      </c>
      <c r="G83" s="1">
        <f t="shared" si="20"/>
        <v>4408.2479999999996</v>
      </c>
      <c r="H83" s="36">
        <v>0</v>
      </c>
      <c r="I83" s="36">
        <v>100</v>
      </c>
      <c r="J83" s="36">
        <v>1.7316729043727531E-2</v>
      </c>
      <c r="K83" s="37">
        <f t="shared" si="26"/>
        <v>0</v>
      </c>
      <c r="L83">
        <f t="shared" si="27"/>
        <v>0</v>
      </c>
    </row>
    <row r="84" spans="1:12" x14ac:dyDescent="0.3">
      <c r="A84" s="6" t="s">
        <v>191</v>
      </c>
      <c r="B84" s="7" t="s">
        <v>192</v>
      </c>
      <c r="C84" s="30">
        <v>299.51179999999999</v>
      </c>
      <c r="D84" s="8">
        <v>0.14118710252233846</v>
      </c>
      <c r="E84" s="9">
        <v>120</v>
      </c>
      <c r="F84" s="15" t="s">
        <v>143</v>
      </c>
      <c r="G84" s="1">
        <f t="shared" si="20"/>
        <v>35941.415999999997</v>
      </c>
      <c r="H84" s="36">
        <v>13.333333333333334</v>
      </c>
      <c r="I84" s="36">
        <v>45.833333333333329</v>
      </c>
      <c r="J84" s="36">
        <v>6.4710755322738456E-2</v>
      </c>
      <c r="K84" s="37">
        <f t="shared" si="26"/>
        <v>4792.1887999999999</v>
      </c>
      <c r="L84">
        <f t="shared" si="27"/>
        <v>1.8824947002978463E-2</v>
      </c>
    </row>
    <row r="85" spans="1:12" x14ac:dyDescent="0.3">
      <c r="A85" s="6" t="s">
        <v>193</v>
      </c>
      <c r="B85" s="7" t="s">
        <v>194</v>
      </c>
      <c r="C85" s="30">
        <v>1152.5519999999999</v>
      </c>
      <c r="D85" s="8">
        <v>4.5275199337256556E-3</v>
      </c>
      <c r="E85" s="9">
        <v>1</v>
      </c>
      <c r="F85" s="10" t="s">
        <v>58</v>
      </c>
      <c r="G85" s="1">
        <f t="shared" si="20"/>
        <v>1152.5519999999999</v>
      </c>
      <c r="H85" s="36">
        <v>0</v>
      </c>
      <c r="I85" s="36">
        <v>100</v>
      </c>
      <c r="J85" s="36">
        <v>4.5275199337256556E-3</v>
      </c>
      <c r="K85" s="37">
        <f t="shared" si="26"/>
        <v>0</v>
      </c>
      <c r="L85">
        <f t="shared" si="27"/>
        <v>0</v>
      </c>
    </row>
    <row r="86" spans="1:12" x14ac:dyDescent="0.3">
      <c r="A86" s="6" t="s">
        <v>195</v>
      </c>
      <c r="B86" s="7" t="s">
        <v>196</v>
      </c>
      <c r="C86" s="30">
        <v>6756.36</v>
      </c>
      <c r="D86" s="8">
        <v>2.6540715368527121E-2</v>
      </c>
      <c r="E86" s="9">
        <v>1</v>
      </c>
      <c r="F86" s="10" t="s">
        <v>58</v>
      </c>
      <c r="G86" s="1">
        <f t="shared" si="20"/>
        <v>6756.36</v>
      </c>
      <c r="H86" s="36">
        <v>0</v>
      </c>
      <c r="I86" s="36">
        <v>0</v>
      </c>
      <c r="J86" s="36">
        <v>0</v>
      </c>
      <c r="K86" s="37">
        <f t="shared" si="26"/>
        <v>0</v>
      </c>
      <c r="L86">
        <f t="shared" si="27"/>
        <v>0</v>
      </c>
    </row>
    <row r="87" spans="1:12" x14ac:dyDescent="0.3">
      <c r="A87" s="6" t="s">
        <v>197</v>
      </c>
      <c r="B87" s="7" t="s">
        <v>198</v>
      </c>
      <c r="C87" s="30">
        <v>35593.464</v>
      </c>
      <c r="D87" s="8">
        <v>0.13982025780211782</v>
      </c>
      <c r="E87" s="9">
        <v>1</v>
      </c>
      <c r="F87" s="10" t="s">
        <v>58</v>
      </c>
      <c r="G87" s="1">
        <f t="shared" si="20"/>
        <v>35593.464</v>
      </c>
      <c r="H87" s="36">
        <v>0</v>
      </c>
      <c r="I87" s="36">
        <v>100</v>
      </c>
      <c r="J87" s="36">
        <v>0.13982025780211782</v>
      </c>
      <c r="K87" s="37">
        <f t="shared" si="26"/>
        <v>0</v>
      </c>
      <c r="L87">
        <f t="shared" si="27"/>
        <v>0</v>
      </c>
    </row>
    <row r="88" spans="1:12" x14ac:dyDescent="0.3">
      <c r="A88" s="6" t="s">
        <v>199</v>
      </c>
      <c r="B88" s="7" t="s">
        <v>200</v>
      </c>
      <c r="C88" s="30">
        <v>31624.272000000001</v>
      </c>
      <c r="D88" s="8">
        <v>0.12422825336259198</v>
      </c>
      <c r="E88" s="9">
        <v>1</v>
      </c>
      <c r="F88" s="10" t="s">
        <v>58</v>
      </c>
      <c r="G88" s="1">
        <f t="shared" si="20"/>
        <v>31624.272000000001</v>
      </c>
      <c r="H88" s="36">
        <v>0</v>
      </c>
      <c r="I88" s="36">
        <v>100</v>
      </c>
      <c r="J88" s="36">
        <v>0.12422825336259198</v>
      </c>
      <c r="K88" s="37">
        <f t="shared" si="26"/>
        <v>0</v>
      </c>
      <c r="L88">
        <f t="shared" si="27"/>
        <v>0</v>
      </c>
    </row>
    <row r="89" spans="1:12" x14ac:dyDescent="0.3">
      <c r="A89" s="11">
        <v>6</v>
      </c>
      <c r="B89" s="19" t="s">
        <v>19</v>
      </c>
      <c r="C89" s="32">
        <v>5661508.932</v>
      </c>
      <c r="D89" s="12">
        <f>0.2224*100</f>
        <v>22.24</v>
      </c>
      <c r="E89" s="13"/>
      <c r="F89" s="13"/>
      <c r="G89" s="1"/>
      <c r="H89" s="36">
        <f>SUM(L90:L118)</f>
        <v>2.0814555234259573</v>
      </c>
      <c r="I89" s="36">
        <f>AVERAGE(I90:I118)</f>
        <v>33.402777777777779</v>
      </c>
      <c r="J89" s="36">
        <f>0.423925829955751*100</f>
        <v>42.392582995575104</v>
      </c>
      <c r="K89" s="39">
        <f>SUM(K90:K118)</f>
        <v>529867.51279999991</v>
      </c>
    </row>
    <row r="90" spans="1:12" x14ac:dyDescent="0.3">
      <c r="A90" s="11" t="s">
        <v>20</v>
      </c>
      <c r="B90" s="19" t="s">
        <v>21</v>
      </c>
      <c r="C90" s="32">
        <v>1087609.152</v>
      </c>
      <c r="D90" s="14"/>
      <c r="E90" s="13"/>
      <c r="F90" s="13"/>
      <c r="G90" s="1"/>
      <c r="H90" s="36"/>
      <c r="I90" s="36"/>
      <c r="J90" s="36"/>
      <c r="K90" s="37"/>
    </row>
    <row r="91" spans="1:12" x14ac:dyDescent="0.3">
      <c r="A91" s="6" t="s">
        <v>410</v>
      </c>
      <c r="B91" s="20" t="s">
        <v>201</v>
      </c>
      <c r="C91" s="33">
        <v>8748.2613000000001</v>
      </c>
      <c r="D91" s="8">
        <v>4.1238497616965537</v>
      </c>
      <c r="E91" s="9">
        <v>120</v>
      </c>
      <c r="F91" s="15" t="s">
        <v>202</v>
      </c>
      <c r="G91" s="1">
        <f t="shared" si="20"/>
        <v>1049791.3559999999</v>
      </c>
      <c r="H91" s="36">
        <v>0</v>
      </c>
      <c r="I91" s="36">
        <v>100</v>
      </c>
      <c r="J91" s="36">
        <v>4.1238497616965537</v>
      </c>
      <c r="K91" s="37">
        <f t="shared" ref="K91:K92" si="28">G91*(H91/100)</f>
        <v>0</v>
      </c>
      <c r="L91">
        <f t="shared" ref="L91:L92" si="29">H91*D91/100</f>
        <v>0</v>
      </c>
    </row>
    <row r="92" spans="1:12" x14ac:dyDescent="0.3">
      <c r="A92" s="6" t="s">
        <v>411</v>
      </c>
      <c r="B92" s="20" t="s">
        <v>203</v>
      </c>
      <c r="C92" s="33">
        <v>315.14830000000001</v>
      </c>
      <c r="D92" s="8">
        <v>0.14855800453217763</v>
      </c>
      <c r="E92" s="9">
        <v>120</v>
      </c>
      <c r="F92" s="15" t="s">
        <v>202</v>
      </c>
      <c r="G92" s="1">
        <f t="shared" si="20"/>
        <v>37817.796000000002</v>
      </c>
      <c r="H92" s="36">
        <v>26.666666666666668</v>
      </c>
      <c r="I92" s="36">
        <v>86.666666666666671</v>
      </c>
      <c r="J92" s="36">
        <v>0.12875027059455396</v>
      </c>
      <c r="K92" s="37">
        <f t="shared" si="28"/>
        <v>10084.7456</v>
      </c>
      <c r="L92">
        <f t="shared" si="29"/>
        <v>3.9615467875247369E-2</v>
      </c>
    </row>
    <row r="93" spans="1:12" x14ac:dyDescent="0.3">
      <c r="A93" s="11" t="s">
        <v>22</v>
      </c>
      <c r="B93" s="21" t="s">
        <v>23</v>
      </c>
      <c r="C93" s="32">
        <v>1077007.3319999999</v>
      </c>
      <c r="D93" s="14"/>
      <c r="E93" s="13"/>
      <c r="F93" s="13"/>
      <c r="G93" s="1"/>
      <c r="H93" s="36"/>
      <c r="I93" s="36"/>
      <c r="J93" s="36"/>
      <c r="K93" s="40"/>
    </row>
    <row r="94" spans="1:12" x14ac:dyDescent="0.3">
      <c r="A94" s="6" t="s">
        <v>204</v>
      </c>
      <c r="B94" s="20" t="s">
        <v>205</v>
      </c>
      <c r="C94" s="33">
        <v>411.31059999999997</v>
      </c>
      <c r="D94" s="8">
        <v>0.19388802661773105</v>
      </c>
      <c r="E94" s="9">
        <v>120</v>
      </c>
      <c r="F94" s="15" t="s">
        <v>202</v>
      </c>
      <c r="G94" s="1">
        <f t="shared" si="20"/>
        <v>49357.271999999997</v>
      </c>
      <c r="H94" s="36">
        <v>13.333333333333334</v>
      </c>
      <c r="I94" s="36">
        <v>60</v>
      </c>
      <c r="J94" s="36">
        <v>0.11633281597063863</v>
      </c>
      <c r="K94" s="37">
        <f t="shared" ref="K94:K98" si="30">G94*(H94/100)</f>
        <v>6580.9695999999994</v>
      </c>
      <c r="L94">
        <f t="shared" ref="L94:L98" si="31">H94*D94/100</f>
        <v>2.5851736882364144E-2</v>
      </c>
    </row>
    <row r="95" spans="1:12" x14ac:dyDescent="0.3">
      <c r="A95" s="6" t="s">
        <v>206</v>
      </c>
      <c r="B95" s="20" t="s">
        <v>207</v>
      </c>
      <c r="C95" s="33">
        <v>1847.0296999999998</v>
      </c>
      <c r="D95" s="8">
        <v>0.87067278022336347</v>
      </c>
      <c r="E95" s="9">
        <v>120</v>
      </c>
      <c r="F95" s="15" t="s">
        <v>202</v>
      </c>
      <c r="G95" s="1">
        <f t="shared" si="20"/>
        <v>221643.56399999998</v>
      </c>
      <c r="H95" s="36">
        <v>13.333333333333334</v>
      </c>
      <c r="I95" s="36">
        <v>60</v>
      </c>
      <c r="J95" s="36">
        <v>0.52240366813401806</v>
      </c>
      <c r="K95" s="37">
        <f t="shared" si="30"/>
        <v>29552.475199999997</v>
      </c>
      <c r="L95">
        <f t="shared" si="31"/>
        <v>0.1160897040297818</v>
      </c>
    </row>
    <row r="96" spans="1:12" x14ac:dyDescent="0.3">
      <c r="A96" s="6" t="s">
        <v>208</v>
      </c>
      <c r="B96" s="20" t="s">
        <v>209</v>
      </c>
      <c r="C96" s="33">
        <v>6096.1649999999991</v>
      </c>
      <c r="D96" s="8">
        <v>2.8736760049122982</v>
      </c>
      <c r="E96" s="9">
        <v>120</v>
      </c>
      <c r="F96" s="15" t="s">
        <v>202</v>
      </c>
      <c r="G96" s="1">
        <f t="shared" si="20"/>
        <v>731539.79999999993</v>
      </c>
      <c r="H96" s="36">
        <v>13.333333333333334</v>
      </c>
      <c r="I96" s="36">
        <v>38.333333333333336</v>
      </c>
      <c r="J96" s="36">
        <v>1.1015758018830477</v>
      </c>
      <c r="K96" s="37">
        <f t="shared" si="30"/>
        <v>97538.639999999985</v>
      </c>
      <c r="L96">
        <f t="shared" si="31"/>
        <v>0.3831568006549731</v>
      </c>
    </row>
    <row r="97" spans="1:12" x14ac:dyDescent="0.3">
      <c r="A97" s="6" t="s">
        <v>210</v>
      </c>
      <c r="B97" s="20" t="s">
        <v>211</v>
      </c>
      <c r="C97" s="33">
        <v>464.17500000000001</v>
      </c>
      <c r="D97" s="8">
        <v>0.21880781763291612</v>
      </c>
      <c r="E97" s="9">
        <v>120</v>
      </c>
      <c r="F97" s="15" t="s">
        <v>202</v>
      </c>
      <c r="G97" s="1">
        <f t="shared" si="20"/>
        <v>55701</v>
      </c>
      <c r="H97" s="36">
        <v>13.333333333333334</v>
      </c>
      <c r="I97" s="36">
        <v>38.333333333333336</v>
      </c>
      <c r="J97" s="36">
        <v>8.3876330092617857E-2</v>
      </c>
      <c r="K97" s="37">
        <f t="shared" si="30"/>
        <v>7426.8</v>
      </c>
      <c r="L97">
        <f t="shared" si="31"/>
        <v>2.9174375684388819E-2</v>
      </c>
    </row>
    <row r="98" spans="1:12" x14ac:dyDescent="0.3">
      <c r="A98" s="6" t="s">
        <v>212</v>
      </c>
      <c r="B98" s="20" t="s">
        <v>213</v>
      </c>
      <c r="C98" s="33">
        <v>18765.696</v>
      </c>
      <c r="D98" s="8">
        <v>7.3716468072794805E-2</v>
      </c>
      <c r="E98" s="9">
        <v>1</v>
      </c>
      <c r="F98" s="15" t="s">
        <v>58</v>
      </c>
      <c r="G98" s="1">
        <f t="shared" si="20"/>
        <v>18765.696</v>
      </c>
      <c r="H98" s="36">
        <v>0</v>
      </c>
      <c r="I98" s="36">
        <v>0</v>
      </c>
      <c r="J98" s="36">
        <v>0</v>
      </c>
      <c r="K98" s="37">
        <f t="shared" si="30"/>
        <v>0</v>
      </c>
      <c r="L98">
        <f t="shared" si="31"/>
        <v>0</v>
      </c>
    </row>
    <row r="99" spans="1:12" x14ac:dyDescent="0.3">
      <c r="A99" s="22" t="s">
        <v>24</v>
      </c>
      <c r="B99" s="19" t="s">
        <v>25</v>
      </c>
      <c r="C99" s="32">
        <v>1079696.0520000001</v>
      </c>
      <c r="D99" s="23"/>
      <c r="E99" s="23"/>
      <c r="F99" s="23"/>
      <c r="G99" s="1"/>
      <c r="H99" s="36"/>
      <c r="I99" s="36"/>
      <c r="J99" s="36"/>
      <c r="K99" s="40"/>
    </row>
    <row r="100" spans="1:12" x14ac:dyDescent="0.3">
      <c r="A100" s="6" t="s">
        <v>214</v>
      </c>
      <c r="B100" s="20" t="s">
        <v>205</v>
      </c>
      <c r="C100" s="33">
        <v>6450.243199999999</v>
      </c>
      <c r="D100" s="8">
        <v>0.38007315069573899</v>
      </c>
      <c r="E100" s="9">
        <v>15</v>
      </c>
      <c r="F100" s="24" t="s">
        <v>58</v>
      </c>
      <c r="G100" s="1">
        <f t="shared" si="20"/>
        <v>96753.647999999986</v>
      </c>
      <c r="H100" s="36">
        <v>26.666666666666668</v>
      </c>
      <c r="I100" s="36">
        <v>46.666666666666664</v>
      </c>
      <c r="J100" s="36">
        <v>0.1773674703246782</v>
      </c>
      <c r="K100" s="37">
        <f t="shared" ref="K100:K102" si="32">G100*(H100/100)</f>
        <v>25800.972799999996</v>
      </c>
      <c r="L100">
        <f t="shared" ref="L100:L102" si="33">H100*D100/100</f>
        <v>0.10135284018553041</v>
      </c>
    </row>
    <row r="101" spans="1:12" x14ac:dyDescent="0.3">
      <c r="A101" s="6" t="s">
        <v>215</v>
      </c>
      <c r="B101" s="20" t="s">
        <v>216</v>
      </c>
      <c r="C101" s="33">
        <v>47913.871200000001</v>
      </c>
      <c r="D101" s="8">
        <v>2.8232696697411086</v>
      </c>
      <c r="E101" s="9">
        <v>15</v>
      </c>
      <c r="F101" s="24" t="s">
        <v>146</v>
      </c>
      <c r="G101" s="1">
        <f t="shared" si="20"/>
        <v>718708.06799999997</v>
      </c>
      <c r="H101" s="36">
        <v>26.666666666666668</v>
      </c>
      <c r="I101" s="36">
        <v>46.666666666666664</v>
      </c>
      <c r="J101" s="36">
        <v>1.3175258458791841</v>
      </c>
      <c r="K101" s="37">
        <f t="shared" si="32"/>
        <v>191655.48479999998</v>
      </c>
      <c r="L101">
        <f t="shared" si="33"/>
        <v>0.75287191193096237</v>
      </c>
    </row>
    <row r="102" spans="1:12" x14ac:dyDescent="0.3">
      <c r="A102" s="6" t="s">
        <v>217</v>
      </c>
      <c r="B102" s="20" t="s">
        <v>218</v>
      </c>
      <c r="C102" s="33">
        <v>17615.6224</v>
      </c>
      <c r="D102" s="8">
        <v>1.0379802589512341</v>
      </c>
      <c r="E102" s="9">
        <v>15</v>
      </c>
      <c r="F102" s="24" t="s">
        <v>146</v>
      </c>
      <c r="G102" s="1">
        <f t="shared" si="20"/>
        <v>264234.33600000001</v>
      </c>
      <c r="H102" s="36">
        <v>26.666666666666668</v>
      </c>
      <c r="I102" s="36">
        <v>46.666666666666664</v>
      </c>
      <c r="J102" s="36">
        <v>0.48439078751057596</v>
      </c>
      <c r="K102" s="37">
        <f t="shared" si="32"/>
        <v>70462.489600000001</v>
      </c>
      <c r="L102">
        <f t="shared" si="33"/>
        <v>0.27679473572032909</v>
      </c>
    </row>
    <row r="103" spans="1:12" x14ac:dyDescent="0.3">
      <c r="A103" s="22" t="s">
        <v>26</v>
      </c>
      <c r="B103" s="19" t="s">
        <v>27</v>
      </c>
      <c r="C103" s="32">
        <v>292542.10800000001</v>
      </c>
      <c r="D103" s="23"/>
      <c r="E103" s="23"/>
      <c r="F103" s="23"/>
      <c r="G103" s="1"/>
      <c r="H103" s="36"/>
      <c r="I103" s="36"/>
      <c r="J103" s="36"/>
      <c r="K103" s="40"/>
    </row>
    <row r="104" spans="1:12" x14ac:dyDescent="0.3">
      <c r="A104" s="6" t="s">
        <v>219</v>
      </c>
      <c r="B104" s="20" t="s">
        <v>220</v>
      </c>
      <c r="C104" s="33">
        <v>1193.4785999999999</v>
      </c>
      <c r="D104" s="8">
        <v>0.5625948141489483</v>
      </c>
      <c r="E104" s="9">
        <v>120</v>
      </c>
      <c r="F104" s="10" t="s">
        <v>143</v>
      </c>
      <c r="G104" s="1">
        <f t="shared" si="20"/>
        <v>143217.432</v>
      </c>
      <c r="H104" s="36">
        <v>0</v>
      </c>
      <c r="I104" s="36">
        <v>80</v>
      </c>
      <c r="J104" s="36">
        <v>0.45007585131915867</v>
      </c>
      <c r="K104" s="37">
        <f t="shared" ref="K104:K106" si="34">G104*(H104/100)</f>
        <v>0</v>
      </c>
      <c r="L104">
        <f t="shared" ref="L104:L106" si="35">H104*D104/100</f>
        <v>0</v>
      </c>
    </row>
    <row r="105" spans="1:12" x14ac:dyDescent="0.3">
      <c r="A105" s="6" t="s">
        <v>221</v>
      </c>
      <c r="B105" s="20" t="s">
        <v>222</v>
      </c>
      <c r="C105" s="33">
        <v>459.74250000000001</v>
      </c>
      <c r="D105" s="8">
        <v>0.21671837797835072</v>
      </c>
      <c r="E105" s="9">
        <v>120</v>
      </c>
      <c r="F105" s="10" t="s">
        <v>143</v>
      </c>
      <c r="G105" s="1">
        <f t="shared" si="20"/>
        <v>55169.1</v>
      </c>
      <c r="H105" s="36">
        <v>20</v>
      </c>
      <c r="I105" s="36">
        <v>46.666666666666664</v>
      </c>
      <c r="J105" s="36">
        <v>0.10113524305656367</v>
      </c>
      <c r="K105" s="37">
        <f t="shared" si="34"/>
        <v>11033.82</v>
      </c>
      <c r="L105">
        <f t="shared" si="35"/>
        <v>4.3343675595670143E-2</v>
      </c>
    </row>
    <row r="106" spans="1:12" x14ac:dyDescent="0.3">
      <c r="A106" s="6" t="s">
        <v>421</v>
      </c>
      <c r="B106" s="20" t="s">
        <v>223</v>
      </c>
      <c r="C106" s="33">
        <v>784.62979999999993</v>
      </c>
      <c r="D106" s="8">
        <v>0.36986725736575954</v>
      </c>
      <c r="E106" s="9">
        <v>120</v>
      </c>
      <c r="F106" s="10" t="s">
        <v>143</v>
      </c>
      <c r="G106" s="1">
        <f t="shared" si="20"/>
        <v>94155.575999999986</v>
      </c>
      <c r="H106" s="36">
        <v>20</v>
      </c>
      <c r="I106" s="36">
        <v>46.666666666666664</v>
      </c>
      <c r="J106" s="36">
        <v>0.17260472010402111</v>
      </c>
      <c r="K106" s="37">
        <f t="shared" si="34"/>
        <v>18831.115199999997</v>
      </c>
      <c r="L106">
        <f t="shared" si="35"/>
        <v>7.3973451473151902E-2</v>
      </c>
    </row>
    <row r="107" spans="1:12" x14ac:dyDescent="0.3">
      <c r="A107" s="22" t="s">
        <v>28</v>
      </c>
      <c r="B107" s="19" t="s">
        <v>29</v>
      </c>
      <c r="C107" s="32">
        <v>2124654.2879999997</v>
      </c>
      <c r="D107" s="23"/>
      <c r="E107" s="23"/>
      <c r="F107" s="23"/>
      <c r="G107" s="1"/>
      <c r="H107" s="36"/>
      <c r="I107" s="36"/>
      <c r="J107" s="36"/>
      <c r="K107" s="40"/>
    </row>
    <row r="108" spans="1:12" x14ac:dyDescent="0.3">
      <c r="A108" s="6" t="s">
        <v>224</v>
      </c>
      <c r="B108" s="20" t="s">
        <v>225</v>
      </c>
      <c r="C108" s="33">
        <v>1600</v>
      </c>
      <c r="D108" s="8">
        <v>0.75422525601910018</v>
      </c>
      <c r="E108" s="9">
        <v>120</v>
      </c>
      <c r="F108" s="10" t="s">
        <v>143</v>
      </c>
      <c r="G108" s="1">
        <f t="shared" si="20"/>
        <v>192000</v>
      </c>
      <c r="H108" s="36">
        <v>20</v>
      </c>
      <c r="I108" s="36">
        <v>53.333333333333336</v>
      </c>
      <c r="J108" s="36">
        <v>0.4022534698768534</v>
      </c>
      <c r="K108" s="37">
        <f t="shared" ref="K108:K118" si="36">G108*(H108/100)</f>
        <v>38400</v>
      </c>
      <c r="L108">
        <f t="shared" ref="L108:L118" si="37">H108*D108/100</f>
        <v>0.15084505120382002</v>
      </c>
    </row>
    <row r="109" spans="1:12" x14ac:dyDescent="0.3">
      <c r="A109" s="6" t="s">
        <v>226</v>
      </c>
      <c r="B109" s="20" t="s">
        <v>227</v>
      </c>
      <c r="C109" s="33">
        <v>7500</v>
      </c>
      <c r="D109" s="8">
        <v>0.4713907850119376</v>
      </c>
      <c r="E109" s="9">
        <v>16</v>
      </c>
      <c r="F109" s="10" t="s">
        <v>228</v>
      </c>
      <c r="G109" s="1">
        <f t="shared" si="20"/>
        <v>120000</v>
      </c>
      <c r="H109" s="36">
        <v>18.75</v>
      </c>
      <c r="I109" s="36">
        <v>50</v>
      </c>
      <c r="J109" s="36">
        <v>0.2356953925059688</v>
      </c>
      <c r="K109" s="37">
        <f t="shared" si="36"/>
        <v>22500</v>
      </c>
      <c r="L109">
        <f t="shared" si="37"/>
        <v>8.8385772189738296E-2</v>
      </c>
    </row>
    <row r="110" spans="1:12" x14ac:dyDescent="0.3">
      <c r="A110" s="6" t="s">
        <v>229</v>
      </c>
      <c r="B110" s="20" t="s">
        <v>230</v>
      </c>
      <c r="C110" s="33">
        <v>800</v>
      </c>
      <c r="D110" s="8">
        <v>0.37711262800955009</v>
      </c>
      <c r="E110" s="9">
        <v>120</v>
      </c>
      <c r="F110" s="10" t="s">
        <v>143</v>
      </c>
      <c r="G110" s="1">
        <f t="shared" si="20"/>
        <v>96000</v>
      </c>
      <c r="H110" s="36">
        <v>0</v>
      </c>
      <c r="I110" s="36">
        <v>0.83333333333333337</v>
      </c>
      <c r="J110" s="36">
        <v>3.1426052334129172E-3</v>
      </c>
      <c r="K110" s="37">
        <f t="shared" si="36"/>
        <v>0</v>
      </c>
      <c r="L110">
        <f t="shared" si="37"/>
        <v>0</v>
      </c>
    </row>
    <row r="111" spans="1:12" x14ac:dyDescent="0.3">
      <c r="A111" s="6" t="s">
        <v>231</v>
      </c>
      <c r="B111" s="20" t="s">
        <v>232</v>
      </c>
      <c r="C111" s="33">
        <v>3750</v>
      </c>
      <c r="D111" s="8">
        <v>0.2356953925059688</v>
      </c>
      <c r="E111" s="9">
        <v>16</v>
      </c>
      <c r="F111" s="10" t="s">
        <v>228</v>
      </c>
      <c r="G111" s="1">
        <f t="shared" si="20"/>
        <v>60000</v>
      </c>
      <c r="H111" s="36">
        <v>0</v>
      </c>
      <c r="I111" s="36">
        <v>0</v>
      </c>
      <c r="J111" s="36">
        <v>0</v>
      </c>
      <c r="K111" s="37">
        <f t="shared" si="36"/>
        <v>0</v>
      </c>
      <c r="L111">
        <f t="shared" si="37"/>
        <v>0</v>
      </c>
    </row>
    <row r="112" spans="1:12" x14ac:dyDescent="0.3">
      <c r="A112" s="6" t="s">
        <v>233</v>
      </c>
      <c r="B112" s="20" t="s">
        <v>234</v>
      </c>
      <c r="C112" s="33">
        <v>1800</v>
      </c>
      <c r="D112" s="8">
        <v>0.84850341302148757</v>
      </c>
      <c r="E112" s="9">
        <v>120</v>
      </c>
      <c r="F112" s="10" t="s">
        <v>143</v>
      </c>
      <c r="G112" s="1">
        <f t="shared" si="20"/>
        <v>216000</v>
      </c>
      <c r="H112" s="36">
        <v>0</v>
      </c>
      <c r="I112" s="36">
        <v>0.83333333333333337</v>
      </c>
      <c r="J112" s="36">
        <v>7.0708617751790628E-3</v>
      </c>
      <c r="K112" s="37">
        <f t="shared" si="36"/>
        <v>0</v>
      </c>
      <c r="L112">
        <f t="shared" si="37"/>
        <v>0</v>
      </c>
    </row>
    <row r="113" spans="1:12" x14ac:dyDescent="0.3">
      <c r="A113" s="6" t="s">
        <v>235</v>
      </c>
      <c r="B113" s="20" t="s">
        <v>236</v>
      </c>
      <c r="C113" s="33">
        <v>9002.6047499999986</v>
      </c>
      <c r="D113" s="8">
        <v>0.56583265603395971</v>
      </c>
      <c r="E113" s="9">
        <v>16</v>
      </c>
      <c r="F113" s="10" t="s">
        <v>228</v>
      </c>
      <c r="G113" s="1">
        <f t="shared" si="20"/>
        <v>144041.67599999998</v>
      </c>
      <c r="H113" s="36">
        <v>0</v>
      </c>
      <c r="I113" s="36">
        <v>0</v>
      </c>
      <c r="J113" s="36">
        <v>0</v>
      </c>
      <c r="K113" s="37">
        <f t="shared" si="36"/>
        <v>0</v>
      </c>
      <c r="L113">
        <f t="shared" si="37"/>
        <v>0</v>
      </c>
    </row>
    <row r="114" spans="1:12" x14ac:dyDescent="0.3">
      <c r="A114" s="6" t="s">
        <v>237</v>
      </c>
      <c r="B114" s="20" t="s">
        <v>238</v>
      </c>
      <c r="C114" s="33">
        <v>40622.087999999996</v>
      </c>
      <c r="D114" s="8">
        <v>2.3936097438930011</v>
      </c>
      <c r="E114" s="9">
        <v>15</v>
      </c>
      <c r="F114" s="10" t="s">
        <v>146</v>
      </c>
      <c r="G114" s="1">
        <f t="shared" si="20"/>
        <v>609331.31999999995</v>
      </c>
      <c r="H114" s="36">
        <v>0</v>
      </c>
      <c r="I114" s="36">
        <v>0</v>
      </c>
      <c r="J114" s="36">
        <v>0</v>
      </c>
      <c r="K114" s="37">
        <f t="shared" si="36"/>
        <v>0</v>
      </c>
      <c r="L114">
        <f t="shared" si="37"/>
        <v>0</v>
      </c>
    </row>
    <row r="115" spans="1:12" x14ac:dyDescent="0.3">
      <c r="A115" s="6" t="s">
        <v>239</v>
      </c>
      <c r="B115" s="20" t="s">
        <v>240</v>
      </c>
      <c r="C115" s="33">
        <v>353.27760000000001</v>
      </c>
      <c r="D115" s="8">
        <v>2.081647564889166E-2</v>
      </c>
      <c r="E115" s="9">
        <v>15</v>
      </c>
      <c r="F115" s="10" t="s">
        <v>228</v>
      </c>
      <c r="G115" s="1">
        <f t="shared" si="20"/>
        <v>5299.1639999999998</v>
      </c>
      <c r="H115" s="36">
        <v>0</v>
      </c>
      <c r="I115" s="36">
        <v>0</v>
      </c>
      <c r="J115" s="36">
        <v>0</v>
      </c>
      <c r="K115" s="37">
        <f t="shared" si="36"/>
        <v>0</v>
      </c>
      <c r="L115">
        <f t="shared" si="37"/>
        <v>0</v>
      </c>
    </row>
    <row r="116" spans="1:12" x14ac:dyDescent="0.3">
      <c r="A116" s="6" t="s">
        <v>241</v>
      </c>
      <c r="B116" s="20" t="s">
        <v>242</v>
      </c>
      <c r="C116" s="33">
        <v>25172.003999999997</v>
      </c>
      <c r="D116" s="8">
        <v>0.19776417876472721</v>
      </c>
      <c r="E116" s="9">
        <v>2</v>
      </c>
      <c r="F116" s="10" t="s">
        <v>228</v>
      </c>
      <c r="G116" s="1">
        <f t="shared" si="20"/>
        <v>50344.007999999994</v>
      </c>
      <c r="H116" s="36">
        <v>0</v>
      </c>
      <c r="I116" s="36">
        <v>0</v>
      </c>
      <c r="J116" s="36">
        <v>0</v>
      </c>
      <c r="K116" s="37">
        <f t="shared" si="36"/>
        <v>0</v>
      </c>
      <c r="L116">
        <f t="shared" si="37"/>
        <v>0</v>
      </c>
    </row>
    <row r="117" spans="1:12" x14ac:dyDescent="0.3">
      <c r="A117" s="6" t="s">
        <v>243</v>
      </c>
      <c r="B117" s="20" t="s">
        <v>244</v>
      </c>
      <c r="C117" s="33">
        <v>40622.087999999996</v>
      </c>
      <c r="D117" s="8">
        <v>2.3936097438930011</v>
      </c>
      <c r="E117" s="9">
        <v>15</v>
      </c>
      <c r="F117" s="10" t="s">
        <v>146</v>
      </c>
      <c r="G117" s="1">
        <f t="shared" si="20"/>
        <v>609331.31999999995</v>
      </c>
      <c r="H117" s="36">
        <v>0</v>
      </c>
      <c r="I117" s="36">
        <v>0</v>
      </c>
      <c r="J117" s="36">
        <v>0</v>
      </c>
      <c r="K117" s="37">
        <f t="shared" si="36"/>
        <v>0</v>
      </c>
      <c r="L117">
        <f t="shared" si="37"/>
        <v>0</v>
      </c>
    </row>
    <row r="118" spans="1:12" x14ac:dyDescent="0.3">
      <c r="A118" s="6" t="s">
        <v>245</v>
      </c>
      <c r="B118" s="20" t="s">
        <v>246</v>
      </c>
      <c r="C118" s="33">
        <v>11153.4</v>
      </c>
      <c r="D118" s="8">
        <v>8.7626833025869072E-2</v>
      </c>
      <c r="E118" s="9">
        <v>2</v>
      </c>
      <c r="F118" s="24" t="s">
        <v>228</v>
      </c>
      <c r="G118" s="1">
        <f t="shared" si="20"/>
        <v>22306.799999999999</v>
      </c>
      <c r="H118" s="36">
        <v>0</v>
      </c>
      <c r="I118" s="36">
        <v>0</v>
      </c>
      <c r="J118" s="36">
        <v>0</v>
      </c>
      <c r="K118" s="37">
        <f t="shared" si="36"/>
        <v>0</v>
      </c>
      <c r="L118">
        <f t="shared" si="37"/>
        <v>0</v>
      </c>
    </row>
    <row r="119" spans="1:12" x14ac:dyDescent="0.3">
      <c r="A119" s="11">
        <v>7</v>
      </c>
      <c r="B119" s="3" t="s">
        <v>30</v>
      </c>
      <c r="C119" s="32">
        <v>1679855.9519999996</v>
      </c>
      <c r="D119" s="12">
        <f>0.0666*100</f>
        <v>6.660000000000001</v>
      </c>
      <c r="E119" s="13"/>
      <c r="F119" s="13"/>
      <c r="G119" s="1"/>
      <c r="H119" s="36">
        <f>SUM(L120:L138)</f>
        <v>0.86493468318595135</v>
      </c>
      <c r="I119" s="36">
        <f>AVERAGE(I120:I138)</f>
        <v>26.474358974358971</v>
      </c>
      <c r="J119" s="36">
        <f>0.39822979986831*100</f>
        <v>39.822979986831001</v>
      </c>
      <c r="K119" s="39">
        <f t="shared" ref="K119" si="38">SUM(K120:K138)</f>
        <v>220182.84040000002</v>
      </c>
    </row>
    <row r="120" spans="1:12" x14ac:dyDescent="0.3">
      <c r="A120" s="11" t="s">
        <v>31</v>
      </c>
      <c r="B120" s="3" t="s">
        <v>32</v>
      </c>
      <c r="C120" s="32">
        <v>1037235.3239999998</v>
      </c>
      <c r="D120" s="14"/>
      <c r="E120" s="13"/>
      <c r="F120" s="13"/>
      <c r="G120" s="1"/>
      <c r="H120" s="36"/>
      <c r="I120" s="36"/>
      <c r="J120" s="36"/>
      <c r="K120" s="37"/>
    </row>
    <row r="121" spans="1:12" x14ac:dyDescent="0.3">
      <c r="A121" s="6" t="s">
        <v>247</v>
      </c>
      <c r="B121" s="7" t="s">
        <v>248</v>
      </c>
      <c r="C121" s="33">
        <v>3318.5209</v>
      </c>
      <c r="D121" s="8">
        <v>1.5643201721295217</v>
      </c>
      <c r="E121" s="9">
        <v>120</v>
      </c>
      <c r="F121" s="10" t="s">
        <v>143</v>
      </c>
      <c r="G121" s="1">
        <f t="shared" si="20"/>
        <v>398222.50799999997</v>
      </c>
      <c r="H121" s="36">
        <v>20</v>
      </c>
      <c r="I121" s="36">
        <v>73.333333333333329</v>
      </c>
      <c r="J121" s="36">
        <v>1.1471681262283158</v>
      </c>
      <c r="K121" s="37">
        <f t="shared" ref="K121:K124" si="39">G121*(H121/100)</f>
        <v>79644.501600000003</v>
      </c>
      <c r="L121">
        <f t="shared" ref="L121:L124" si="40">H121*D121/100</f>
        <v>0.31286403442590432</v>
      </c>
    </row>
    <row r="122" spans="1:12" x14ac:dyDescent="0.3">
      <c r="A122" s="6" t="s">
        <v>249</v>
      </c>
      <c r="B122" s="7" t="s">
        <v>250</v>
      </c>
      <c r="C122" s="33">
        <v>4367.9982999999993</v>
      </c>
      <c r="D122" s="8">
        <v>2.0590341475678087</v>
      </c>
      <c r="E122" s="9">
        <v>120</v>
      </c>
      <c r="F122" s="10" t="s">
        <v>143</v>
      </c>
      <c r="G122" s="1">
        <f t="shared" si="20"/>
        <v>524159.79599999991</v>
      </c>
      <c r="H122" s="36">
        <v>13.333333333333334</v>
      </c>
      <c r="I122" s="36">
        <v>38.333333333333336</v>
      </c>
      <c r="J122" s="36">
        <v>0.78929642323432669</v>
      </c>
      <c r="K122" s="37">
        <f t="shared" si="39"/>
        <v>69887.972799999989</v>
      </c>
      <c r="L122">
        <f t="shared" si="40"/>
        <v>0.27453788634237453</v>
      </c>
    </row>
    <row r="123" spans="1:12" x14ac:dyDescent="0.3">
      <c r="A123" s="6" t="s">
        <v>251</v>
      </c>
      <c r="B123" s="7" t="s">
        <v>211</v>
      </c>
      <c r="C123" s="33">
        <v>236.8562</v>
      </c>
      <c r="D123" s="8">
        <v>0.11165183005294448</v>
      </c>
      <c r="E123" s="9">
        <v>120</v>
      </c>
      <c r="F123" s="10" t="s">
        <v>143</v>
      </c>
      <c r="G123" s="1">
        <f t="shared" si="20"/>
        <v>28422.743999999999</v>
      </c>
      <c r="H123" s="36">
        <v>13.333333333333334</v>
      </c>
      <c r="I123" s="36">
        <v>38.333333333333336</v>
      </c>
      <c r="J123" s="36">
        <v>4.2799868186962055E-2</v>
      </c>
      <c r="K123" s="37">
        <f t="shared" si="39"/>
        <v>3789.6991999999996</v>
      </c>
      <c r="L123">
        <f t="shared" si="40"/>
        <v>1.4886910673725931E-2</v>
      </c>
    </row>
    <row r="124" spans="1:12" x14ac:dyDescent="0.3">
      <c r="A124" s="6" t="s">
        <v>252</v>
      </c>
      <c r="B124" s="7" t="s">
        <v>218</v>
      </c>
      <c r="C124" s="33">
        <v>720.25229999999999</v>
      </c>
      <c r="D124" s="8">
        <v>0.33952029710365361</v>
      </c>
      <c r="E124" s="9">
        <v>120</v>
      </c>
      <c r="F124" s="10" t="s">
        <v>143</v>
      </c>
      <c r="G124" s="1">
        <f t="shared" si="20"/>
        <v>86430.275999999998</v>
      </c>
      <c r="H124" s="36">
        <v>20</v>
      </c>
      <c r="I124" s="36">
        <v>80</v>
      </c>
      <c r="J124" s="36">
        <v>0.27161623768292292</v>
      </c>
      <c r="K124" s="37">
        <f t="shared" si="39"/>
        <v>17286.055199999999</v>
      </c>
      <c r="L124">
        <f t="shared" si="40"/>
        <v>6.7904059420730717E-2</v>
      </c>
    </row>
    <row r="125" spans="1:12" x14ac:dyDescent="0.3">
      <c r="A125" s="11" t="s">
        <v>33</v>
      </c>
      <c r="B125" s="3" t="s">
        <v>253</v>
      </c>
      <c r="C125" s="32">
        <v>372145.02</v>
      </c>
      <c r="D125" s="14"/>
      <c r="E125" s="13"/>
      <c r="F125" s="13"/>
      <c r="G125" s="1"/>
      <c r="H125" s="36"/>
      <c r="I125" s="36"/>
      <c r="J125" s="36"/>
      <c r="K125" s="40"/>
    </row>
    <row r="126" spans="1:12" x14ac:dyDescent="0.3">
      <c r="A126" s="6" t="s">
        <v>254</v>
      </c>
      <c r="B126" s="7" t="s">
        <v>255</v>
      </c>
      <c r="C126" s="33">
        <v>9700.9920000000002</v>
      </c>
      <c r="D126" s="8">
        <v>3.8107985285621059E-2</v>
      </c>
      <c r="E126" s="9">
        <v>1</v>
      </c>
      <c r="F126" s="10" t="s">
        <v>256</v>
      </c>
      <c r="G126" s="1">
        <f t="shared" si="20"/>
        <v>9700.9920000000002</v>
      </c>
      <c r="H126" s="36">
        <v>0</v>
      </c>
      <c r="I126" s="36">
        <v>0</v>
      </c>
      <c r="J126" s="36">
        <v>0</v>
      </c>
      <c r="K126" s="37">
        <f t="shared" ref="K126:K129" si="41">G126*(H126/100)</f>
        <v>0</v>
      </c>
      <c r="L126">
        <f t="shared" ref="L126:L129" si="42">H126*D126/100</f>
        <v>0</v>
      </c>
    </row>
    <row r="127" spans="1:12" x14ac:dyDescent="0.3">
      <c r="A127" s="6" t="s">
        <v>257</v>
      </c>
      <c r="B127" s="7" t="s">
        <v>258</v>
      </c>
      <c r="C127" s="33">
        <v>64832.843999999997</v>
      </c>
      <c r="D127" s="8">
        <v>0.25468004356430402</v>
      </c>
      <c r="E127" s="9">
        <v>1</v>
      </c>
      <c r="F127" s="10" t="s">
        <v>256</v>
      </c>
      <c r="G127" s="1">
        <f t="shared" si="20"/>
        <v>64832.843999999997</v>
      </c>
      <c r="H127" s="36">
        <v>0</v>
      </c>
      <c r="I127" s="36">
        <v>0</v>
      </c>
      <c r="J127" s="36">
        <v>0</v>
      </c>
      <c r="K127" s="37">
        <f t="shared" si="41"/>
        <v>0</v>
      </c>
      <c r="L127">
        <f t="shared" si="42"/>
        <v>0</v>
      </c>
    </row>
    <row r="128" spans="1:12" x14ac:dyDescent="0.3">
      <c r="A128" s="6" t="s">
        <v>259</v>
      </c>
      <c r="B128" s="7" t="s">
        <v>260</v>
      </c>
      <c r="C128" s="33">
        <v>54821.231999999996</v>
      </c>
      <c r="D128" s="8">
        <v>0.21535186323167957</v>
      </c>
      <c r="E128" s="9">
        <v>1</v>
      </c>
      <c r="F128" s="10" t="s">
        <v>256</v>
      </c>
      <c r="G128" s="1">
        <f t="shared" si="20"/>
        <v>54821.231999999996</v>
      </c>
      <c r="H128" s="36">
        <v>0</v>
      </c>
      <c r="I128" s="36">
        <v>0</v>
      </c>
      <c r="J128" s="36">
        <v>0</v>
      </c>
      <c r="K128" s="37">
        <f t="shared" si="41"/>
        <v>0</v>
      </c>
      <c r="L128">
        <f t="shared" si="42"/>
        <v>0</v>
      </c>
    </row>
    <row r="129" spans="1:12" x14ac:dyDescent="0.3">
      <c r="A129" s="6" t="s">
        <v>261</v>
      </c>
      <c r="B129" s="7" t="s">
        <v>262</v>
      </c>
      <c r="C129" s="33">
        <v>80929.983999999997</v>
      </c>
      <c r="D129" s="8">
        <v>0.95374121721908867</v>
      </c>
      <c r="E129" s="9">
        <v>3</v>
      </c>
      <c r="F129" s="10" t="s">
        <v>256</v>
      </c>
      <c r="G129" s="1">
        <f t="shared" si="20"/>
        <v>242789.95199999999</v>
      </c>
      <c r="H129" s="36">
        <v>0</v>
      </c>
      <c r="I129" s="36">
        <v>0</v>
      </c>
      <c r="J129" s="36">
        <v>0</v>
      </c>
      <c r="K129" s="37">
        <f t="shared" si="41"/>
        <v>0</v>
      </c>
      <c r="L129">
        <f t="shared" si="42"/>
        <v>0</v>
      </c>
    </row>
    <row r="130" spans="1:12" x14ac:dyDescent="0.3">
      <c r="A130" s="11" t="s">
        <v>34</v>
      </c>
      <c r="B130" s="3" t="s">
        <v>263</v>
      </c>
      <c r="C130" s="32">
        <v>168871.54800000001</v>
      </c>
      <c r="D130" s="12"/>
      <c r="E130" s="13"/>
      <c r="F130" s="13"/>
      <c r="G130" s="1"/>
      <c r="H130" s="36"/>
      <c r="I130" s="36"/>
      <c r="J130" s="36"/>
      <c r="K130" s="40"/>
    </row>
    <row r="131" spans="1:12" x14ac:dyDescent="0.3">
      <c r="A131" s="6" t="s">
        <v>264</v>
      </c>
      <c r="B131" s="7" t="s">
        <v>265</v>
      </c>
      <c r="C131" s="33">
        <v>1407.2629000000002</v>
      </c>
      <c r="D131" s="8">
        <v>0.66337076314917587</v>
      </c>
      <c r="E131" s="9">
        <v>120</v>
      </c>
      <c r="F131" s="10" t="s">
        <v>143</v>
      </c>
      <c r="G131" s="1">
        <f t="shared" si="20"/>
        <v>168871.54800000001</v>
      </c>
      <c r="H131" s="36">
        <v>13.333333333333334</v>
      </c>
      <c r="I131" s="36">
        <v>38.333333333333336</v>
      </c>
      <c r="J131" s="36">
        <v>0.25429212587385075</v>
      </c>
      <c r="K131" s="37">
        <f t="shared" ref="K131" si="43">G131*(H131/100)</f>
        <v>22516.206400000003</v>
      </c>
      <c r="L131">
        <f t="shared" ref="L131" si="44">H131*D131/100</f>
        <v>8.8449435086556782E-2</v>
      </c>
    </row>
    <row r="132" spans="1:12" x14ac:dyDescent="0.3">
      <c r="A132" s="11" t="s">
        <v>35</v>
      </c>
      <c r="B132" s="3" t="s">
        <v>266</v>
      </c>
      <c r="C132" s="32">
        <v>39446.699999999997</v>
      </c>
      <c r="D132" s="12"/>
      <c r="E132" s="13"/>
      <c r="F132" s="13"/>
      <c r="G132" s="1"/>
      <c r="H132" s="36"/>
      <c r="I132" s="36"/>
      <c r="J132" s="36"/>
      <c r="K132" s="40"/>
    </row>
    <row r="133" spans="1:12" x14ac:dyDescent="0.3">
      <c r="A133" s="6" t="s">
        <v>267</v>
      </c>
      <c r="B133" s="7" t="s">
        <v>268</v>
      </c>
      <c r="C133" s="33">
        <v>328.72249999999997</v>
      </c>
      <c r="D133" s="8">
        <v>0.15495675732608666</v>
      </c>
      <c r="E133" s="9">
        <v>120</v>
      </c>
      <c r="F133" s="15" t="s">
        <v>143</v>
      </c>
      <c r="G133" s="1">
        <f t="shared" ref="G133:G195" si="45">C133*E133</f>
        <v>39446.699999999997</v>
      </c>
      <c r="H133" s="36">
        <v>13.333333333333334</v>
      </c>
      <c r="I133" s="36">
        <v>38.333333333333336</v>
      </c>
      <c r="J133" s="36">
        <v>5.9400090308333223E-2</v>
      </c>
      <c r="K133" s="37">
        <f t="shared" ref="K133" si="46">G133*(H133/100)</f>
        <v>5259.5599999999995</v>
      </c>
      <c r="L133">
        <f t="shared" ref="L133" si="47">H133*D133/100</f>
        <v>2.0660900976811555E-2</v>
      </c>
    </row>
    <row r="134" spans="1:12" x14ac:dyDescent="0.3">
      <c r="A134" s="11" t="s">
        <v>36</v>
      </c>
      <c r="B134" s="3" t="s">
        <v>269</v>
      </c>
      <c r="C134" s="32">
        <v>59451.396000000001</v>
      </c>
      <c r="D134" s="12"/>
      <c r="E134" s="13"/>
      <c r="F134" s="13"/>
      <c r="G134" s="1"/>
      <c r="H134" s="36"/>
      <c r="I134" s="36"/>
      <c r="J134" s="36"/>
      <c r="K134" s="40"/>
    </row>
    <row r="135" spans="1:12" x14ac:dyDescent="0.3">
      <c r="A135" s="6" t="s">
        <v>270</v>
      </c>
      <c r="B135" s="7" t="s">
        <v>271</v>
      </c>
      <c r="C135" s="33">
        <v>495.42829999999998</v>
      </c>
      <c r="D135" s="8">
        <v>0.23354033525412971</v>
      </c>
      <c r="E135" s="9">
        <v>120</v>
      </c>
      <c r="F135" s="15" t="s">
        <v>143</v>
      </c>
      <c r="G135" s="1">
        <f t="shared" si="45"/>
        <v>59451.396000000001</v>
      </c>
      <c r="H135" s="36">
        <v>36.666666666666664</v>
      </c>
      <c r="I135" s="36">
        <v>37.5</v>
      </c>
      <c r="J135" s="36">
        <v>8.7577625720298646E-2</v>
      </c>
      <c r="K135" s="37">
        <f t="shared" ref="K135" si="48">G135*(H135/100)</f>
        <v>21798.8452</v>
      </c>
      <c r="L135">
        <f t="shared" ref="L135" si="49">H135*D135/100</f>
        <v>8.5631456259847555E-2</v>
      </c>
    </row>
    <row r="136" spans="1:12" x14ac:dyDescent="0.3">
      <c r="A136" s="11" t="s">
        <v>37</v>
      </c>
      <c r="B136" s="3" t="s">
        <v>272</v>
      </c>
      <c r="C136" s="32">
        <v>2705.9639999999995</v>
      </c>
      <c r="D136" s="12"/>
      <c r="E136" s="13"/>
      <c r="F136" s="13"/>
      <c r="G136" s="1"/>
      <c r="H136" s="36"/>
      <c r="I136" s="36"/>
      <c r="J136" s="36"/>
      <c r="K136" s="40"/>
    </row>
    <row r="137" spans="1:12" x14ac:dyDescent="0.3">
      <c r="A137" s="6" t="s">
        <v>273</v>
      </c>
      <c r="B137" s="7" t="s">
        <v>274</v>
      </c>
      <c r="C137" s="33">
        <v>2705.9639999999995</v>
      </c>
      <c r="D137" s="8">
        <v>1.0629720784783686E-2</v>
      </c>
      <c r="E137" s="9">
        <v>1</v>
      </c>
      <c r="F137" s="15" t="s">
        <v>275</v>
      </c>
      <c r="G137" s="1">
        <f t="shared" si="45"/>
        <v>2705.9639999999995</v>
      </c>
      <c r="H137" s="36">
        <v>0</v>
      </c>
      <c r="I137" s="36">
        <v>0</v>
      </c>
      <c r="J137" s="36">
        <v>0</v>
      </c>
      <c r="K137" s="37">
        <f t="shared" ref="K137:K138" si="50">G137*(H137/100)</f>
        <v>0</v>
      </c>
      <c r="L137">
        <f t="shared" ref="L137:L138" si="51">H137*D137/100</f>
        <v>0</v>
      </c>
    </row>
    <row r="138" spans="1:12" x14ac:dyDescent="0.3">
      <c r="A138" s="6" t="s">
        <v>276</v>
      </c>
      <c r="B138" s="7" t="s">
        <v>277</v>
      </c>
      <c r="C138" s="33">
        <v>15514.332</v>
      </c>
      <c r="D138" s="8">
        <v>6.0944276170131866E-2</v>
      </c>
      <c r="E138" s="9">
        <v>1</v>
      </c>
      <c r="F138" s="15" t="s">
        <v>275</v>
      </c>
      <c r="G138" s="1">
        <f t="shared" si="45"/>
        <v>15514.332</v>
      </c>
      <c r="H138" s="36">
        <v>0</v>
      </c>
      <c r="I138" s="36">
        <v>0</v>
      </c>
      <c r="J138" s="36">
        <v>0</v>
      </c>
      <c r="K138" s="37">
        <f t="shared" si="50"/>
        <v>0</v>
      </c>
      <c r="L138">
        <f t="shared" si="51"/>
        <v>0</v>
      </c>
    </row>
    <row r="139" spans="1:12" x14ac:dyDescent="0.3">
      <c r="A139" s="11">
        <v>8</v>
      </c>
      <c r="B139" s="3" t="s">
        <v>38</v>
      </c>
      <c r="C139" s="32">
        <v>5858294.4139999989</v>
      </c>
      <c r="D139" s="12">
        <f>0.2301288333*100</f>
        <v>23.012883330000001</v>
      </c>
      <c r="E139" s="13"/>
      <c r="F139" s="13"/>
      <c r="G139" s="1"/>
      <c r="H139" s="36">
        <f>SUM(L140:L205)</f>
        <v>1.329634759521283</v>
      </c>
      <c r="I139" s="36">
        <f>AVERAGE(I140:I205)</f>
        <v>25.98852901484479</v>
      </c>
      <c r="J139" s="36">
        <f>0.414110048029731*100</f>
        <v>41.411004802973103</v>
      </c>
      <c r="K139" s="39">
        <f>SUM(K140:K205)</f>
        <v>338479.61439999996</v>
      </c>
    </row>
    <row r="140" spans="1:12" x14ac:dyDescent="0.3">
      <c r="A140" s="11" t="s">
        <v>39</v>
      </c>
      <c r="B140" s="3" t="s">
        <v>278</v>
      </c>
      <c r="C140" s="32">
        <v>1655828.28</v>
      </c>
      <c r="D140" s="14"/>
      <c r="E140" s="13"/>
      <c r="F140" s="13"/>
      <c r="G140" s="1"/>
      <c r="H140" s="36"/>
      <c r="I140" s="36"/>
      <c r="J140" s="36"/>
      <c r="K140" s="37"/>
    </row>
    <row r="141" spans="1:12" x14ac:dyDescent="0.3">
      <c r="A141" s="6" t="s">
        <v>279</v>
      </c>
      <c r="B141" s="7" t="s">
        <v>280</v>
      </c>
      <c r="C141" s="34">
        <v>947.8</v>
      </c>
      <c r="D141" s="8">
        <v>0.44678418603431441</v>
      </c>
      <c r="E141" s="9">
        <v>120</v>
      </c>
      <c r="F141" s="15" t="s">
        <v>143</v>
      </c>
      <c r="G141" s="1">
        <f t="shared" si="45"/>
        <v>113736</v>
      </c>
      <c r="H141" s="36">
        <v>0</v>
      </c>
      <c r="I141" s="36">
        <v>100</v>
      </c>
      <c r="J141" s="36">
        <v>0.44678418603431441</v>
      </c>
      <c r="K141" s="37">
        <f t="shared" ref="K141:K156" si="52">G141*(H141/100)</f>
        <v>0</v>
      </c>
      <c r="L141">
        <f t="shared" ref="L141:L156" si="53">H141*D141/100</f>
        <v>0</v>
      </c>
    </row>
    <row r="142" spans="1:12" x14ac:dyDescent="0.3">
      <c r="A142" s="6" t="s">
        <v>281</v>
      </c>
      <c r="B142" s="7" t="s">
        <v>282</v>
      </c>
      <c r="C142" s="34">
        <v>2417.8000000000002</v>
      </c>
      <c r="D142" s="8">
        <v>1.1397286400018627</v>
      </c>
      <c r="E142" s="9">
        <v>120</v>
      </c>
      <c r="F142" s="15" t="s">
        <v>143</v>
      </c>
      <c r="G142" s="1">
        <f t="shared" si="45"/>
        <v>290136</v>
      </c>
      <c r="H142" s="36">
        <v>0</v>
      </c>
      <c r="I142" s="36">
        <v>100</v>
      </c>
      <c r="J142" s="36">
        <v>1.1397286400018627</v>
      </c>
      <c r="K142" s="37">
        <f t="shared" si="52"/>
        <v>0</v>
      </c>
      <c r="L142">
        <f t="shared" si="53"/>
        <v>0</v>
      </c>
    </row>
    <row r="143" spans="1:12" x14ac:dyDescent="0.3">
      <c r="A143" s="6" t="s">
        <v>283</v>
      </c>
      <c r="B143" s="7" t="s">
        <v>284</v>
      </c>
      <c r="C143" s="34">
        <v>11285.679999999998</v>
      </c>
      <c r="D143" s="8">
        <v>0.66499569432419037</v>
      </c>
      <c r="E143" s="9">
        <v>15</v>
      </c>
      <c r="F143" s="15" t="s">
        <v>228</v>
      </c>
      <c r="G143" s="1">
        <f t="shared" si="45"/>
        <v>169285.19999999998</v>
      </c>
      <c r="H143" s="36">
        <v>0</v>
      </c>
      <c r="I143" s="36">
        <v>0</v>
      </c>
      <c r="J143" s="36">
        <v>0</v>
      </c>
      <c r="K143" s="37">
        <f t="shared" si="52"/>
        <v>0</v>
      </c>
      <c r="L143">
        <f t="shared" si="53"/>
        <v>0</v>
      </c>
    </row>
    <row r="144" spans="1:12" x14ac:dyDescent="0.3">
      <c r="A144" s="6" t="s">
        <v>285</v>
      </c>
      <c r="B144" s="7" t="s">
        <v>286</v>
      </c>
      <c r="C144" s="34">
        <v>2435.1600000000003</v>
      </c>
      <c r="D144" s="8">
        <v>1.1479119840296699</v>
      </c>
      <c r="E144" s="9">
        <v>120</v>
      </c>
      <c r="F144" s="15" t="s">
        <v>143</v>
      </c>
      <c r="G144" s="1">
        <f t="shared" si="45"/>
        <v>292219.2</v>
      </c>
      <c r="H144" s="36">
        <v>13.333333333333334</v>
      </c>
      <c r="I144" s="36">
        <v>46.666666666666664</v>
      </c>
      <c r="J144" s="36">
        <v>0.535692259213846</v>
      </c>
      <c r="K144" s="37">
        <f t="shared" si="52"/>
        <v>38962.559999999998</v>
      </c>
      <c r="L144">
        <f t="shared" si="53"/>
        <v>0.153054931203956</v>
      </c>
    </row>
    <row r="145" spans="1:12" x14ac:dyDescent="0.3">
      <c r="A145" s="6" t="s">
        <v>287</v>
      </c>
      <c r="B145" s="7" t="s">
        <v>288</v>
      </c>
      <c r="C145" s="34">
        <v>10939.6</v>
      </c>
      <c r="D145" s="8">
        <v>0.64460332896457406</v>
      </c>
      <c r="E145" s="9">
        <v>15</v>
      </c>
      <c r="F145" s="15" t="s">
        <v>228</v>
      </c>
      <c r="G145" s="1">
        <f t="shared" si="45"/>
        <v>164094</v>
      </c>
      <c r="H145" s="36">
        <v>0</v>
      </c>
      <c r="I145" s="36">
        <v>0</v>
      </c>
      <c r="J145" s="36">
        <v>0</v>
      </c>
      <c r="K145" s="37">
        <f t="shared" si="52"/>
        <v>0</v>
      </c>
      <c r="L145">
        <f t="shared" si="53"/>
        <v>0</v>
      </c>
    </row>
    <row r="146" spans="1:12" x14ac:dyDescent="0.3">
      <c r="A146" s="6" t="s">
        <v>289</v>
      </c>
      <c r="B146" s="7" t="s">
        <v>290</v>
      </c>
      <c r="C146" s="34">
        <v>1137.3599999999999</v>
      </c>
      <c r="D146" s="8">
        <v>0.53614102324117729</v>
      </c>
      <c r="E146" s="9">
        <v>120</v>
      </c>
      <c r="F146" s="15" t="s">
        <v>143</v>
      </c>
      <c r="G146" s="1">
        <f t="shared" si="45"/>
        <v>136483.19999999998</v>
      </c>
      <c r="H146" s="36">
        <v>33.333333333333329</v>
      </c>
      <c r="I146" s="36">
        <v>100</v>
      </c>
      <c r="J146" s="36">
        <v>0.53614102324117729</v>
      </c>
      <c r="K146" s="37">
        <f t="shared" si="52"/>
        <v>45494.399999999987</v>
      </c>
      <c r="L146">
        <f t="shared" si="53"/>
        <v>0.17871367441372574</v>
      </c>
    </row>
    <row r="147" spans="1:12" x14ac:dyDescent="0.3">
      <c r="A147" s="6" t="s">
        <v>291</v>
      </c>
      <c r="B147" s="7" t="s">
        <v>292</v>
      </c>
      <c r="C147" s="34">
        <v>984.50599999999997</v>
      </c>
      <c r="D147" s="8">
        <v>0.46408705618896262</v>
      </c>
      <c r="E147" s="9">
        <v>120</v>
      </c>
      <c r="F147" s="10" t="s">
        <v>293</v>
      </c>
      <c r="G147" s="1">
        <f t="shared" si="45"/>
        <v>118140.72</v>
      </c>
      <c r="H147" s="36">
        <v>0</v>
      </c>
      <c r="I147" s="36">
        <v>1.6666666666666667</v>
      </c>
      <c r="J147" s="36">
        <v>7.7347842698160434E-3</v>
      </c>
      <c r="K147" s="37">
        <f t="shared" si="52"/>
        <v>0</v>
      </c>
      <c r="L147">
        <f t="shared" si="53"/>
        <v>0</v>
      </c>
    </row>
    <row r="148" spans="1:12" x14ac:dyDescent="0.3">
      <c r="A148" s="6" t="s">
        <v>294</v>
      </c>
      <c r="B148" s="7" t="s">
        <v>295</v>
      </c>
      <c r="C148" s="34">
        <v>716</v>
      </c>
      <c r="D148" s="8">
        <v>4.2189475258568414E-2</v>
      </c>
      <c r="E148" s="9">
        <v>15</v>
      </c>
      <c r="F148" s="15" t="s">
        <v>228</v>
      </c>
      <c r="G148" s="1">
        <f t="shared" si="45"/>
        <v>10740</v>
      </c>
      <c r="H148" s="36">
        <v>0</v>
      </c>
      <c r="I148" s="36">
        <v>0</v>
      </c>
      <c r="J148" s="36">
        <v>0</v>
      </c>
      <c r="K148" s="37">
        <f t="shared" si="52"/>
        <v>0</v>
      </c>
      <c r="L148">
        <f t="shared" si="53"/>
        <v>0</v>
      </c>
    </row>
    <row r="149" spans="1:12" x14ac:dyDescent="0.3">
      <c r="A149" s="6" t="s">
        <v>296</v>
      </c>
      <c r="B149" s="7" t="s">
        <v>297</v>
      </c>
      <c r="C149" s="34">
        <v>2045.1704</v>
      </c>
      <c r="D149" s="8">
        <v>0.12050931004239732</v>
      </c>
      <c r="E149" s="9">
        <v>15</v>
      </c>
      <c r="F149" s="15" t="s">
        <v>228</v>
      </c>
      <c r="G149" s="1">
        <f t="shared" si="45"/>
        <v>30677.556</v>
      </c>
      <c r="H149" s="36">
        <v>0</v>
      </c>
      <c r="I149" s="36">
        <v>0</v>
      </c>
      <c r="J149" s="36">
        <v>0</v>
      </c>
      <c r="K149" s="37">
        <f t="shared" si="52"/>
        <v>0</v>
      </c>
      <c r="L149">
        <f t="shared" si="53"/>
        <v>0</v>
      </c>
    </row>
    <row r="150" spans="1:12" x14ac:dyDescent="0.3">
      <c r="A150" s="6" t="s">
        <v>298</v>
      </c>
      <c r="B150" s="7" t="s">
        <v>299</v>
      </c>
      <c r="C150" s="34">
        <v>212.6</v>
      </c>
      <c r="D150" s="8">
        <v>0.10021768089353794</v>
      </c>
      <c r="E150" s="9">
        <v>120</v>
      </c>
      <c r="F150" s="10" t="s">
        <v>293</v>
      </c>
      <c r="G150" s="1">
        <f t="shared" si="45"/>
        <v>25512</v>
      </c>
      <c r="H150" s="36">
        <v>0</v>
      </c>
      <c r="I150" s="36">
        <v>0</v>
      </c>
      <c r="J150" s="36">
        <v>0</v>
      </c>
      <c r="K150" s="37">
        <f t="shared" si="52"/>
        <v>0</v>
      </c>
      <c r="L150">
        <f t="shared" si="53"/>
        <v>0</v>
      </c>
    </row>
    <row r="151" spans="1:12" x14ac:dyDescent="0.3">
      <c r="A151" s="6" t="s">
        <v>300</v>
      </c>
      <c r="B151" s="7" t="s">
        <v>301</v>
      </c>
      <c r="C151" s="34">
        <v>118380.23999999999</v>
      </c>
      <c r="D151" s="8">
        <v>0.46502795219584647</v>
      </c>
      <c r="E151" s="9">
        <v>1</v>
      </c>
      <c r="F151" s="15" t="s">
        <v>302</v>
      </c>
      <c r="G151" s="1">
        <f t="shared" si="45"/>
        <v>118380.23999999999</v>
      </c>
      <c r="H151" s="36">
        <v>0</v>
      </c>
      <c r="I151" s="36">
        <v>0</v>
      </c>
      <c r="J151" s="36">
        <v>0</v>
      </c>
      <c r="K151" s="37">
        <f t="shared" si="52"/>
        <v>0</v>
      </c>
      <c r="L151">
        <f t="shared" si="53"/>
        <v>0</v>
      </c>
    </row>
    <row r="152" spans="1:12" x14ac:dyDescent="0.3">
      <c r="A152" s="6" t="s">
        <v>303</v>
      </c>
      <c r="B152" s="7" t="s">
        <v>304</v>
      </c>
      <c r="C152" s="34">
        <v>1656.54</v>
      </c>
      <c r="D152" s="8">
        <v>6.5073140916972923E-3</v>
      </c>
      <c r="E152" s="9">
        <v>1</v>
      </c>
      <c r="F152" s="15" t="s">
        <v>146</v>
      </c>
      <c r="G152" s="1">
        <f t="shared" si="45"/>
        <v>1656.54</v>
      </c>
      <c r="H152" s="36">
        <v>0</v>
      </c>
      <c r="I152" s="36">
        <v>0</v>
      </c>
      <c r="J152" s="36">
        <v>0</v>
      </c>
      <c r="K152" s="37">
        <f t="shared" si="52"/>
        <v>0</v>
      </c>
      <c r="L152">
        <f t="shared" si="53"/>
        <v>0</v>
      </c>
    </row>
    <row r="153" spans="1:12" x14ac:dyDescent="0.3">
      <c r="A153" s="6" t="s">
        <v>305</v>
      </c>
      <c r="B153" s="7" t="s">
        <v>306</v>
      </c>
      <c r="C153" s="34">
        <v>367.2</v>
      </c>
      <c r="D153" s="8">
        <v>2.1636837032047933E-2</v>
      </c>
      <c r="E153" s="9">
        <v>15</v>
      </c>
      <c r="F153" s="10" t="s">
        <v>228</v>
      </c>
      <c r="G153" s="1">
        <f t="shared" si="45"/>
        <v>5508</v>
      </c>
      <c r="H153" s="36">
        <v>0</v>
      </c>
      <c r="I153" s="36">
        <v>0</v>
      </c>
      <c r="J153" s="36">
        <v>0</v>
      </c>
      <c r="K153" s="37">
        <f t="shared" si="52"/>
        <v>0</v>
      </c>
      <c r="L153">
        <f t="shared" si="53"/>
        <v>0</v>
      </c>
    </row>
    <row r="154" spans="1:12" x14ac:dyDescent="0.3">
      <c r="A154" s="6" t="s">
        <v>307</v>
      </c>
      <c r="B154" s="7" t="s">
        <v>308</v>
      </c>
      <c r="C154" s="34">
        <v>356</v>
      </c>
      <c r="D154" s="8">
        <v>0.16781511946424979</v>
      </c>
      <c r="E154" s="9">
        <v>120</v>
      </c>
      <c r="F154" s="10" t="s">
        <v>143</v>
      </c>
      <c r="G154" s="1">
        <f t="shared" si="45"/>
        <v>42720</v>
      </c>
      <c r="H154" s="36">
        <v>0</v>
      </c>
      <c r="I154" s="36">
        <v>0</v>
      </c>
      <c r="J154" s="36">
        <v>0</v>
      </c>
      <c r="K154" s="37">
        <f t="shared" si="52"/>
        <v>0</v>
      </c>
      <c r="L154">
        <f t="shared" si="53"/>
        <v>0</v>
      </c>
    </row>
    <row r="155" spans="1:12" x14ac:dyDescent="0.3">
      <c r="A155" s="6" t="s">
        <v>309</v>
      </c>
      <c r="B155" s="7" t="s">
        <v>310</v>
      </c>
      <c r="C155" s="34">
        <v>14790.023999999999</v>
      </c>
      <c r="D155" s="8">
        <v>5.8099008530878314E-2</v>
      </c>
      <c r="E155" s="9">
        <v>1</v>
      </c>
      <c r="F155" s="10" t="s">
        <v>146</v>
      </c>
      <c r="G155" s="1">
        <f t="shared" si="45"/>
        <v>14790.023999999999</v>
      </c>
      <c r="H155" s="36">
        <v>0</v>
      </c>
      <c r="I155" s="36">
        <v>0</v>
      </c>
      <c r="J155" s="36">
        <v>0</v>
      </c>
      <c r="K155" s="37">
        <f t="shared" si="52"/>
        <v>0</v>
      </c>
      <c r="L155">
        <f t="shared" si="53"/>
        <v>0</v>
      </c>
    </row>
    <row r="156" spans="1:12" x14ac:dyDescent="0.3">
      <c r="A156" s="6" t="s">
        <v>311</v>
      </c>
      <c r="B156" s="7" t="s">
        <v>312</v>
      </c>
      <c r="C156" s="34">
        <v>8116.6399999999994</v>
      </c>
      <c r="D156" s="8">
        <v>0.4782636626574116</v>
      </c>
      <c r="E156" s="9">
        <v>15</v>
      </c>
      <c r="F156" s="10" t="s">
        <v>228</v>
      </c>
      <c r="G156" s="1">
        <f t="shared" si="45"/>
        <v>121749.59999999999</v>
      </c>
      <c r="H156" s="36">
        <v>0</v>
      </c>
      <c r="I156" s="36">
        <v>0</v>
      </c>
      <c r="J156" s="36">
        <v>0</v>
      </c>
      <c r="K156" s="37">
        <f t="shared" si="52"/>
        <v>0</v>
      </c>
      <c r="L156">
        <f t="shared" si="53"/>
        <v>0</v>
      </c>
    </row>
    <row r="157" spans="1:12" x14ac:dyDescent="0.3">
      <c r="A157" s="11" t="s">
        <v>40</v>
      </c>
      <c r="B157" s="3" t="s">
        <v>41</v>
      </c>
      <c r="C157" s="32">
        <v>1165912.32</v>
      </c>
      <c r="D157" s="12"/>
      <c r="E157" s="13"/>
      <c r="F157" s="13"/>
      <c r="G157" s="1"/>
      <c r="H157" s="36"/>
      <c r="I157" s="36"/>
      <c r="J157" s="36"/>
      <c r="K157" s="40"/>
    </row>
    <row r="158" spans="1:12" x14ac:dyDescent="0.3">
      <c r="A158" s="6" t="s">
        <v>313</v>
      </c>
      <c r="B158" s="7" t="s">
        <v>314</v>
      </c>
      <c r="C158" s="34">
        <v>4196.0240000000003</v>
      </c>
      <c r="D158" s="8">
        <v>0.24724588091111632</v>
      </c>
      <c r="E158" s="9">
        <v>15</v>
      </c>
      <c r="F158" s="10" t="s">
        <v>228</v>
      </c>
      <c r="G158" s="1">
        <f t="shared" si="45"/>
        <v>62940.360000000008</v>
      </c>
      <c r="H158" s="36">
        <v>0</v>
      </c>
      <c r="I158" s="36">
        <v>0</v>
      </c>
      <c r="J158" s="36">
        <v>0</v>
      </c>
      <c r="K158" s="37">
        <f t="shared" ref="K158:K163" si="54">G158*(H158/100)</f>
        <v>0</v>
      </c>
      <c r="L158">
        <f t="shared" ref="L158:L163" si="55">H158*D158/100</f>
        <v>0</v>
      </c>
    </row>
    <row r="159" spans="1:12" x14ac:dyDescent="0.3">
      <c r="A159" s="6" t="s">
        <v>315</v>
      </c>
      <c r="B159" s="7" t="s">
        <v>316</v>
      </c>
      <c r="C159" s="34">
        <v>104340.36</v>
      </c>
      <c r="D159" s="8">
        <v>0.40987570174023474</v>
      </c>
      <c r="E159" s="9">
        <v>1</v>
      </c>
      <c r="F159" s="10" t="s">
        <v>146</v>
      </c>
      <c r="G159" s="1">
        <f t="shared" si="45"/>
        <v>104340.36</v>
      </c>
      <c r="H159" s="36">
        <v>0</v>
      </c>
      <c r="I159" s="36">
        <v>0</v>
      </c>
      <c r="J159" s="36">
        <v>0</v>
      </c>
      <c r="K159" s="37">
        <f t="shared" si="54"/>
        <v>0</v>
      </c>
      <c r="L159">
        <f t="shared" si="55"/>
        <v>0</v>
      </c>
    </row>
    <row r="160" spans="1:12" x14ac:dyDescent="0.3">
      <c r="A160" s="6" t="s">
        <v>317</v>
      </c>
      <c r="B160" s="7" t="s">
        <v>318</v>
      </c>
      <c r="C160" s="34">
        <v>24338.44</v>
      </c>
      <c r="D160" s="8">
        <v>1.4341145421957426</v>
      </c>
      <c r="E160" s="9">
        <v>15</v>
      </c>
      <c r="F160" s="10" t="s">
        <v>228</v>
      </c>
      <c r="G160" s="1">
        <f t="shared" si="45"/>
        <v>365076.6</v>
      </c>
      <c r="H160" s="36">
        <v>0</v>
      </c>
      <c r="I160" s="36">
        <v>13.333333333333334</v>
      </c>
      <c r="J160" s="36">
        <v>0.19121527229276569</v>
      </c>
      <c r="K160" s="37">
        <f t="shared" si="54"/>
        <v>0</v>
      </c>
      <c r="L160">
        <f t="shared" si="55"/>
        <v>0</v>
      </c>
    </row>
    <row r="161" spans="1:12" x14ac:dyDescent="0.3">
      <c r="A161" s="6" t="s">
        <v>319</v>
      </c>
      <c r="B161" s="7" t="s">
        <v>320</v>
      </c>
      <c r="C161" s="34">
        <v>4532.45</v>
      </c>
      <c r="D161" s="8">
        <v>2.1365551635273565</v>
      </c>
      <c r="E161" s="9">
        <v>120</v>
      </c>
      <c r="F161" s="10" t="s">
        <v>293</v>
      </c>
      <c r="G161" s="1">
        <f t="shared" si="45"/>
        <v>543894</v>
      </c>
      <c r="H161" s="36">
        <v>26.666666666666668</v>
      </c>
      <c r="I161" s="36">
        <v>73.333333333333329</v>
      </c>
      <c r="J161" s="36">
        <v>1.5668071199200613</v>
      </c>
      <c r="K161" s="37">
        <f t="shared" si="54"/>
        <v>145038.39999999999</v>
      </c>
      <c r="L161">
        <f t="shared" si="55"/>
        <v>0.56974804360729503</v>
      </c>
    </row>
    <row r="162" spans="1:12" x14ac:dyDescent="0.3">
      <c r="A162" s="6" t="s">
        <v>321</v>
      </c>
      <c r="B162" s="7" t="s">
        <v>322</v>
      </c>
      <c r="C162" s="34">
        <v>35340.959999999999</v>
      </c>
      <c r="D162" s="8">
        <v>0.13882835731229573</v>
      </c>
      <c r="E162" s="9">
        <v>1</v>
      </c>
      <c r="F162" s="10" t="s">
        <v>146</v>
      </c>
      <c r="G162" s="1">
        <f t="shared" si="45"/>
        <v>35340.959999999999</v>
      </c>
      <c r="H162" s="36">
        <v>0</v>
      </c>
      <c r="I162" s="36">
        <v>0</v>
      </c>
      <c r="J162" s="36">
        <v>0</v>
      </c>
      <c r="K162" s="37">
        <f t="shared" si="54"/>
        <v>0</v>
      </c>
      <c r="L162">
        <f t="shared" si="55"/>
        <v>0</v>
      </c>
    </row>
    <row r="163" spans="1:12" x14ac:dyDescent="0.3">
      <c r="A163" s="6" t="s">
        <v>323</v>
      </c>
      <c r="B163" s="7" t="s">
        <v>324</v>
      </c>
      <c r="C163" s="34">
        <v>54320.039999999994</v>
      </c>
      <c r="D163" s="8">
        <v>0.21338305247899872</v>
      </c>
      <c r="E163" s="9">
        <v>1</v>
      </c>
      <c r="F163" s="10" t="s">
        <v>146</v>
      </c>
      <c r="G163" s="1">
        <f t="shared" si="45"/>
        <v>54320.039999999994</v>
      </c>
      <c r="H163" s="36">
        <v>0</v>
      </c>
      <c r="I163" s="36">
        <v>0</v>
      </c>
      <c r="J163" s="36">
        <v>0</v>
      </c>
      <c r="K163" s="37">
        <f t="shared" si="54"/>
        <v>0</v>
      </c>
      <c r="L163">
        <f t="shared" si="55"/>
        <v>0</v>
      </c>
    </row>
    <row r="164" spans="1:12" x14ac:dyDescent="0.3">
      <c r="A164" s="11" t="s">
        <v>42</v>
      </c>
      <c r="B164" s="3" t="s">
        <v>43</v>
      </c>
      <c r="C164" s="32">
        <v>133686</v>
      </c>
      <c r="D164" s="12"/>
      <c r="E164" s="13"/>
      <c r="F164" s="13"/>
      <c r="G164" s="1"/>
      <c r="H164" s="36"/>
      <c r="I164" s="36"/>
      <c r="J164" s="36"/>
      <c r="K164" s="40"/>
    </row>
    <row r="165" spans="1:12" x14ac:dyDescent="0.3">
      <c r="A165" s="6" t="s">
        <v>325</v>
      </c>
      <c r="B165" s="7" t="s">
        <v>318</v>
      </c>
      <c r="C165" s="34">
        <v>2220.4</v>
      </c>
      <c r="D165" s="8">
        <v>0.13083451238006327</v>
      </c>
      <c r="E165" s="9">
        <v>15</v>
      </c>
      <c r="F165" s="15" t="s">
        <v>228</v>
      </c>
      <c r="G165" s="1">
        <f t="shared" si="45"/>
        <v>33306</v>
      </c>
      <c r="H165" s="36">
        <v>0</v>
      </c>
      <c r="I165" s="36">
        <v>100</v>
      </c>
      <c r="J165" s="36">
        <v>0.13083451238006327</v>
      </c>
      <c r="K165" s="37">
        <f t="shared" ref="K165:K168" si="56">G165*(H165/100)</f>
        <v>0</v>
      </c>
      <c r="L165">
        <f t="shared" ref="L165:L168" si="57">H165*D165/100</f>
        <v>0</v>
      </c>
    </row>
    <row r="166" spans="1:12" x14ac:dyDescent="0.3">
      <c r="A166" s="6" t="s">
        <v>326</v>
      </c>
      <c r="B166" s="7" t="s">
        <v>327</v>
      </c>
      <c r="C166" s="34">
        <v>324</v>
      </c>
      <c r="D166" s="8">
        <v>0.15273061434386778</v>
      </c>
      <c r="E166" s="9">
        <v>120</v>
      </c>
      <c r="F166" s="10" t="s">
        <v>293</v>
      </c>
      <c r="G166" s="1">
        <f t="shared" si="45"/>
        <v>38880</v>
      </c>
      <c r="H166" s="36">
        <v>0</v>
      </c>
      <c r="I166" s="36">
        <v>0</v>
      </c>
      <c r="J166" s="36">
        <v>0</v>
      </c>
      <c r="K166" s="37">
        <f t="shared" si="56"/>
        <v>0</v>
      </c>
      <c r="L166">
        <f t="shared" si="57"/>
        <v>0</v>
      </c>
    </row>
    <row r="167" spans="1:12" x14ac:dyDescent="0.3">
      <c r="A167" s="6" t="s">
        <v>328</v>
      </c>
      <c r="B167" s="7" t="s">
        <v>329</v>
      </c>
      <c r="C167" s="34">
        <v>24540.42</v>
      </c>
      <c r="D167" s="8">
        <v>9.6401065402688779E-2</v>
      </c>
      <c r="E167" s="9">
        <v>1</v>
      </c>
      <c r="F167" s="15" t="s">
        <v>146</v>
      </c>
      <c r="G167" s="1">
        <f t="shared" si="45"/>
        <v>24540.42</v>
      </c>
      <c r="H167" s="36">
        <v>0</v>
      </c>
      <c r="I167" s="36">
        <v>0</v>
      </c>
      <c r="J167" s="36">
        <v>0</v>
      </c>
      <c r="K167" s="37">
        <f t="shared" si="56"/>
        <v>0</v>
      </c>
      <c r="L167">
        <f t="shared" si="57"/>
        <v>0</v>
      </c>
    </row>
    <row r="168" spans="1:12" x14ac:dyDescent="0.3">
      <c r="A168" s="6" t="s">
        <v>330</v>
      </c>
      <c r="B168" s="7" t="s">
        <v>320</v>
      </c>
      <c r="C168" s="34">
        <v>307.99649999999997</v>
      </c>
      <c r="D168" s="8">
        <v>0.14518671191592922</v>
      </c>
      <c r="E168" s="9">
        <v>120</v>
      </c>
      <c r="F168" s="15" t="s">
        <v>228</v>
      </c>
      <c r="G168" s="1">
        <f t="shared" si="45"/>
        <v>36959.579999999994</v>
      </c>
      <c r="H168" s="36">
        <v>0</v>
      </c>
      <c r="I168" s="36">
        <v>100</v>
      </c>
      <c r="J168" s="36">
        <v>0.14518671191592922</v>
      </c>
      <c r="K168" s="37">
        <f t="shared" si="56"/>
        <v>0</v>
      </c>
      <c r="L168">
        <f t="shared" si="57"/>
        <v>0</v>
      </c>
    </row>
    <row r="169" spans="1:12" x14ac:dyDescent="0.3">
      <c r="A169" s="11" t="s">
        <v>44</v>
      </c>
      <c r="B169" s="3" t="s">
        <v>45</v>
      </c>
      <c r="C169" s="32">
        <v>270403.31999999995</v>
      </c>
      <c r="D169" s="12"/>
      <c r="E169" s="13"/>
      <c r="F169" s="13"/>
      <c r="G169" s="1">
        <f t="shared" si="45"/>
        <v>0</v>
      </c>
      <c r="H169" s="36"/>
      <c r="I169" s="36"/>
      <c r="J169" s="36"/>
      <c r="K169" s="40"/>
    </row>
    <row r="170" spans="1:12" x14ac:dyDescent="0.3">
      <c r="A170" s="6" t="s">
        <v>331</v>
      </c>
      <c r="B170" s="7" t="s">
        <v>318</v>
      </c>
      <c r="C170" s="34">
        <v>5276.1839999999993</v>
      </c>
      <c r="D170" s="8">
        <v>0.31089306470342809</v>
      </c>
      <c r="E170" s="9">
        <v>15</v>
      </c>
      <c r="F170" s="15" t="s">
        <v>228</v>
      </c>
      <c r="G170" s="1">
        <f t="shared" si="45"/>
        <v>79142.759999999995</v>
      </c>
      <c r="H170" s="36">
        <v>0</v>
      </c>
      <c r="I170" s="36">
        <v>100</v>
      </c>
      <c r="J170" s="36">
        <v>0.31089306470342809</v>
      </c>
      <c r="K170" s="37">
        <f t="shared" ref="K170:K176" si="58">G170*(H170/100)</f>
        <v>0</v>
      </c>
      <c r="L170">
        <f t="shared" ref="L170:L176" si="59">H170*D170/100</f>
        <v>0</v>
      </c>
    </row>
    <row r="171" spans="1:12" x14ac:dyDescent="0.3">
      <c r="A171" s="6" t="s">
        <v>332</v>
      </c>
      <c r="B171" s="7" t="s">
        <v>333</v>
      </c>
      <c r="C171" s="34">
        <v>5059.88</v>
      </c>
      <c r="D171" s="8">
        <v>0.29814760065827534</v>
      </c>
      <c r="E171" s="9">
        <v>15</v>
      </c>
      <c r="F171" s="15" t="s">
        <v>228</v>
      </c>
      <c r="G171" s="1">
        <f t="shared" si="45"/>
        <v>75898.2</v>
      </c>
      <c r="H171" s="36">
        <v>0</v>
      </c>
      <c r="I171" s="36">
        <v>100</v>
      </c>
      <c r="J171" s="36">
        <v>0.29814760065827534</v>
      </c>
      <c r="K171" s="37">
        <f t="shared" si="58"/>
        <v>0</v>
      </c>
      <c r="L171">
        <f t="shared" si="59"/>
        <v>0</v>
      </c>
    </row>
    <row r="172" spans="1:12" x14ac:dyDescent="0.3">
      <c r="A172" s="6" t="s">
        <v>334</v>
      </c>
      <c r="B172" s="7" t="s">
        <v>335</v>
      </c>
      <c r="C172" s="34">
        <v>1198.4000000000001</v>
      </c>
      <c r="D172" s="8">
        <v>7.0614339594788259E-2</v>
      </c>
      <c r="E172" s="9">
        <v>15</v>
      </c>
      <c r="F172" s="10" t="s">
        <v>99</v>
      </c>
      <c r="G172" s="1">
        <f t="shared" si="45"/>
        <v>17976</v>
      </c>
      <c r="H172" s="36">
        <v>0</v>
      </c>
      <c r="I172" s="36">
        <v>100</v>
      </c>
      <c r="J172" s="36">
        <v>7.0614339594788259E-2</v>
      </c>
      <c r="K172" s="37">
        <f t="shared" si="58"/>
        <v>0</v>
      </c>
      <c r="L172">
        <f t="shared" si="59"/>
        <v>0</v>
      </c>
    </row>
    <row r="173" spans="1:12" x14ac:dyDescent="0.3">
      <c r="A173" s="6" t="s">
        <v>336</v>
      </c>
      <c r="B173" s="7" t="s">
        <v>337</v>
      </c>
      <c r="C173" s="34">
        <v>2274.4</v>
      </c>
      <c r="D173" s="8">
        <v>0.13401640017889385</v>
      </c>
      <c r="E173" s="9">
        <v>15</v>
      </c>
      <c r="F173" s="10" t="s">
        <v>99</v>
      </c>
      <c r="G173" s="1">
        <f t="shared" si="45"/>
        <v>34116</v>
      </c>
      <c r="H173" s="36">
        <v>0</v>
      </c>
      <c r="I173" s="36">
        <v>0</v>
      </c>
      <c r="J173" s="36">
        <v>0</v>
      </c>
      <c r="K173" s="37">
        <f t="shared" si="58"/>
        <v>0</v>
      </c>
      <c r="L173">
        <f t="shared" si="59"/>
        <v>0</v>
      </c>
    </row>
    <row r="174" spans="1:12" x14ac:dyDescent="0.3">
      <c r="A174" s="6" t="s">
        <v>338</v>
      </c>
      <c r="B174" s="7" t="s">
        <v>339</v>
      </c>
      <c r="C174" s="34">
        <v>1182.3599999999999</v>
      </c>
      <c r="D174" s="8">
        <v>4.6446134047226206E-3</v>
      </c>
      <c r="E174" s="9">
        <v>1</v>
      </c>
      <c r="F174" s="15" t="s">
        <v>146</v>
      </c>
      <c r="G174" s="1">
        <f t="shared" si="45"/>
        <v>1182.3599999999999</v>
      </c>
      <c r="H174" s="36">
        <v>0</v>
      </c>
      <c r="I174" s="36">
        <v>0</v>
      </c>
      <c r="J174" s="36">
        <v>0</v>
      </c>
      <c r="K174" s="37">
        <f t="shared" si="58"/>
        <v>0</v>
      </c>
      <c r="L174">
        <f t="shared" si="59"/>
        <v>0</v>
      </c>
    </row>
    <row r="175" spans="1:12" x14ac:dyDescent="0.3">
      <c r="A175" s="6" t="s">
        <v>340</v>
      </c>
      <c r="B175" s="7" t="s">
        <v>341</v>
      </c>
      <c r="C175" s="34">
        <v>684.8</v>
      </c>
      <c r="D175" s="8">
        <v>4.0351051197021863E-2</v>
      </c>
      <c r="E175" s="9">
        <v>15</v>
      </c>
      <c r="F175" s="15" t="s">
        <v>228</v>
      </c>
      <c r="G175" s="1">
        <f t="shared" si="45"/>
        <v>10272</v>
      </c>
      <c r="H175" s="36">
        <v>0</v>
      </c>
      <c r="I175" s="36">
        <v>0</v>
      </c>
      <c r="J175" s="36">
        <v>0</v>
      </c>
      <c r="K175" s="37">
        <f t="shared" si="58"/>
        <v>0</v>
      </c>
      <c r="L175">
        <f t="shared" si="59"/>
        <v>0</v>
      </c>
    </row>
    <row r="176" spans="1:12" x14ac:dyDescent="0.3">
      <c r="A176" s="6" t="s">
        <v>342</v>
      </c>
      <c r="B176" s="7" t="s">
        <v>343</v>
      </c>
      <c r="C176" s="34">
        <v>51816</v>
      </c>
      <c r="D176" s="8">
        <v>0.20354654096815467</v>
      </c>
      <c r="E176" s="9">
        <v>1</v>
      </c>
      <c r="F176" s="10" t="s">
        <v>99</v>
      </c>
      <c r="G176" s="1">
        <f t="shared" si="45"/>
        <v>51816</v>
      </c>
      <c r="H176" s="36">
        <v>0</v>
      </c>
      <c r="I176" s="36">
        <v>0</v>
      </c>
      <c r="J176" s="36">
        <v>0</v>
      </c>
      <c r="K176" s="37">
        <f t="shared" si="58"/>
        <v>0</v>
      </c>
      <c r="L176">
        <f t="shared" si="59"/>
        <v>0</v>
      </c>
    </row>
    <row r="177" spans="1:12" x14ac:dyDescent="0.3">
      <c r="A177" s="11" t="s">
        <v>46</v>
      </c>
      <c r="B177" s="3" t="s">
        <v>47</v>
      </c>
      <c r="C177" s="32">
        <v>929500.44</v>
      </c>
      <c r="D177" s="12"/>
      <c r="E177" s="13"/>
      <c r="F177" s="13"/>
      <c r="G177" s="1"/>
      <c r="H177" s="36"/>
      <c r="I177" s="36"/>
      <c r="J177" s="36"/>
      <c r="K177" s="40"/>
    </row>
    <row r="178" spans="1:12" x14ac:dyDescent="0.3">
      <c r="A178" s="6" t="s">
        <v>344</v>
      </c>
      <c r="B178" s="7" t="s">
        <v>345</v>
      </c>
      <c r="C178" s="34">
        <v>10607.519999999999</v>
      </c>
      <c r="D178" s="8">
        <v>0.62503589747872845</v>
      </c>
      <c r="E178" s="9">
        <v>15</v>
      </c>
      <c r="F178" s="15" t="s">
        <v>146</v>
      </c>
      <c r="G178" s="1">
        <f t="shared" si="45"/>
        <v>159112.79999999999</v>
      </c>
      <c r="H178" s="36">
        <v>13.333333333333334</v>
      </c>
      <c r="I178" s="36">
        <v>100</v>
      </c>
      <c r="J178" s="36">
        <v>0.62503589747872845</v>
      </c>
      <c r="K178" s="37">
        <f t="shared" ref="K178:K183" si="60">G178*(H178/100)</f>
        <v>21215.039999999997</v>
      </c>
      <c r="L178">
        <f t="shared" ref="L178:L183" si="61">H178*D178/100</f>
        <v>8.3338119663830479E-2</v>
      </c>
    </row>
    <row r="179" spans="1:12" x14ac:dyDescent="0.3">
      <c r="A179" s="6" t="s">
        <v>346</v>
      </c>
      <c r="B179" s="7" t="s">
        <v>347</v>
      </c>
      <c r="C179" s="34">
        <v>2702.8399999999997</v>
      </c>
      <c r="D179" s="8">
        <v>1.2740938693616655</v>
      </c>
      <c r="E179" s="9">
        <v>120</v>
      </c>
      <c r="F179" s="15" t="s">
        <v>146</v>
      </c>
      <c r="G179" s="1">
        <f t="shared" si="45"/>
        <v>324340.8</v>
      </c>
      <c r="H179" s="36">
        <v>13.333333333333334</v>
      </c>
      <c r="I179" s="36">
        <v>80</v>
      </c>
      <c r="J179" s="36">
        <v>1.0192750954893324</v>
      </c>
      <c r="K179" s="37">
        <f t="shared" si="60"/>
        <v>43245.439999999995</v>
      </c>
      <c r="L179">
        <f t="shared" si="61"/>
        <v>0.16987918258155543</v>
      </c>
    </row>
    <row r="180" spans="1:12" x14ac:dyDescent="0.3">
      <c r="A180" s="6" t="s">
        <v>348</v>
      </c>
      <c r="B180" s="7" t="s">
        <v>349</v>
      </c>
      <c r="C180" s="34">
        <v>224786.87999999998</v>
      </c>
      <c r="D180" s="8">
        <v>0.88302053186320173</v>
      </c>
      <c r="E180" s="9">
        <v>1</v>
      </c>
      <c r="F180" s="15" t="s">
        <v>228</v>
      </c>
      <c r="G180" s="1">
        <f t="shared" si="45"/>
        <v>224786.87999999998</v>
      </c>
      <c r="H180" s="36">
        <v>0</v>
      </c>
      <c r="I180" s="36">
        <v>0</v>
      </c>
      <c r="J180" s="36">
        <v>0</v>
      </c>
      <c r="K180" s="37">
        <f t="shared" si="60"/>
        <v>0</v>
      </c>
      <c r="L180">
        <f t="shared" si="61"/>
        <v>0</v>
      </c>
    </row>
    <row r="181" spans="1:12" x14ac:dyDescent="0.3">
      <c r="A181" s="6" t="s">
        <v>350</v>
      </c>
      <c r="B181" s="7" t="s">
        <v>351</v>
      </c>
      <c r="C181" s="34">
        <v>11088.640000000001</v>
      </c>
      <c r="D181" s="8">
        <v>0.6533853392893465</v>
      </c>
      <c r="E181" s="9">
        <v>15</v>
      </c>
      <c r="F181" s="15" t="s">
        <v>228</v>
      </c>
      <c r="G181" s="1">
        <f t="shared" si="45"/>
        <v>166329.60000000001</v>
      </c>
      <c r="H181" s="36">
        <v>13.333333333333334</v>
      </c>
      <c r="I181" s="36">
        <v>100</v>
      </c>
      <c r="J181" s="36">
        <v>0.6533853392893465</v>
      </c>
      <c r="K181" s="37">
        <f t="shared" si="60"/>
        <v>22177.279999999999</v>
      </c>
      <c r="L181">
        <f t="shared" si="61"/>
        <v>8.7118045238579536E-2</v>
      </c>
    </row>
    <row r="182" spans="1:12" x14ac:dyDescent="0.3">
      <c r="A182" s="6" t="s">
        <v>352</v>
      </c>
      <c r="B182" s="7" t="s">
        <v>353</v>
      </c>
      <c r="C182" s="34">
        <v>44550.36</v>
      </c>
      <c r="D182" s="8">
        <v>0.17500524310803686</v>
      </c>
      <c r="E182" s="9">
        <v>1</v>
      </c>
      <c r="F182" s="15" t="s">
        <v>228</v>
      </c>
      <c r="G182" s="1">
        <f t="shared" si="45"/>
        <v>44550.36</v>
      </c>
      <c r="H182" s="36">
        <v>0</v>
      </c>
      <c r="I182" s="36">
        <v>0</v>
      </c>
      <c r="J182" s="36">
        <v>0</v>
      </c>
      <c r="K182" s="37">
        <f t="shared" si="60"/>
        <v>0</v>
      </c>
      <c r="L182">
        <f t="shared" si="61"/>
        <v>0</v>
      </c>
    </row>
    <row r="183" spans="1:12" x14ac:dyDescent="0.3">
      <c r="A183" s="6" t="s">
        <v>354</v>
      </c>
      <c r="B183" s="7" t="s">
        <v>355</v>
      </c>
      <c r="C183" s="34">
        <v>10380</v>
      </c>
      <c r="D183" s="8">
        <v>4.0775302903532602E-2</v>
      </c>
      <c r="E183" s="9">
        <v>1</v>
      </c>
      <c r="F183" s="15" t="s">
        <v>146</v>
      </c>
      <c r="G183" s="1">
        <f t="shared" si="45"/>
        <v>10380</v>
      </c>
      <c r="H183" s="36">
        <v>0</v>
      </c>
      <c r="I183" s="36">
        <v>0</v>
      </c>
      <c r="J183" s="36">
        <v>0</v>
      </c>
      <c r="K183" s="37">
        <f t="shared" si="60"/>
        <v>0</v>
      </c>
      <c r="L183">
        <f t="shared" si="61"/>
        <v>0</v>
      </c>
    </row>
    <row r="184" spans="1:12" x14ac:dyDescent="0.3">
      <c r="A184" s="11" t="s">
        <v>48</v>
      </c>
      <c r="B184" s="3" t="s">
        <v>356</v>
      </c>
      <c r="C184" s="32">
        <v>830561.75999999989</v>
      </c>
      <c r="D184" s="12"/>
      <c r="E184" s="13"/>
      <c r="F184" s="13"/>
      <c r="G184" s="1"/>
      <c r="H184" s="36"/>
      <c r="I184" s="36"/>
      <c r="J184" s="36"/>
      <c r="K184" s="40"/>
    </row>
    <row r="185" spans="1:12" x14ac:dyDescent="0.3">
      <c r="A185" s="6" t="s">
        <v>357</v>
      </c>
      <c r="B185" s="7" t="s">
        <v>358</v>
      </c>
      <c r="C185" s="33">
        <v>56307.692307692305</v>
      </c>
      <c r="D185" s="8">
        <v>2.8754837885728195</v>
      </c>
      <c r="E185" s="9">
        <v>13</v>
      </c>
      <c r="F185" s="15" t="s">
        <v>146</v>
      </c>
      <c r="G185" s="1">
        <f t="shared" si="45"/>
        <v>732000</v>
      </c>
      <c r="H185" s="36">
        <v>0</v>
      </c>
      <c r="I185" s="36">
        <v>53.846153846153847</v>
      </c>
      <c r="J185" s="36">
        <v>1.5483374246161334</v>
      </c>
      <c r="K185" s="37">
        <f t="shared" ref="K185:K187" si="62">G185*(H185/100)</f>
        <v>0</v>
      </c>
      <c r="L185">
        <f t="shared" ref="L185:L187" si="63">H185*D185/100</f>
        <v>0</v>
      </c>
    </row>
    <row r="186" spans="1:12" x14ac:dyDescent="0.3">
      <c r="A186" s="6" t="s">
        <v>359</v>
      </c>
      <c r="B186" s="7" t="s">
        <v>360</v>
      </c>
      <c r="C186" s="33">
        <v>624.3359999999999</v>
      </c>
      <c r="D186" s="8">
        <v>0.29430623715121301</v>
      </c>
      <c r="E186" s="9">
        <v>120</v>
      </c>
      <c r="F186" s="15" t="s">
        <v>293</v>
      </c>
      <c r="G186" s="1">
        <f t="shared" si="45"/>
        <v>74920.319999999992</v>
      </c>
      <c r="H186" s="36">
        <v>0</v>
      </c>
      <c r="I186" s="36">
        <v>0</v>
      </c>
      <c r="J186" s="36">
        <v>0</v>
      </c>
      <c r="K186" s="37">
        <f t="shared" si="62"/>
        <v>0</v>
      </c>
      <c r="L186">
        <f t="shared" si="63"/>
        <v>0</v>
      </c>
    </row>
    <row r="187" spans="1:12" x14ac:dyDescent="0.3">
      <c r="A187" s="6" t="s">
        <v>361</v>
      </c>
      <c r="B187" s="7" t="s">
        <v>362</v>
      </c>
      <c r="C187" s="33">
        <v>23641.439999999999</v>
      </c>
      <c r="D187" s="8">
        <v>9.2869641336771849E-2</v>
      </c>
      <c r="E187" s="9">
        <v>1</v>
      </c>
      <c r="F187" s="15" t="s">
        <v>146</v>
      </c>
      <c r="G187" s="1">
        <f t="shared" si="45"/>
        <v>23641.439999999999</v>
      </c>
      <c r="H187" s="36">
        <v>0</v>
      </c>
      <c r="I187" s="36">
        <v>0</v>
      </c>
      <c r="J187" s="36">
        <v>0</v>
      </c>
      <c r="K187" s="37">
        <f t="shared" si="62"/>
        <v>0</v>
      </c>
      <c r="L187">
        <f t="shared" si="63"/>
        <v>0</v>
      </c>
    </row>
    <row r="188" spans="1:12" x14ac:dyDescent="0.3">
      <c r="A188" s="11" t="s">
        <v>49</v>
      </c>
      <c r="B188" s="3" t="s">
        <v>50</v>
      </c>
      <c r="C188" s="32">
        <v>723728.24599999993</v>
      </c>
      <c r="D188" s="12"/>
      <c r="E188" s="13"/>
      <c r="F188" s="13"/>
      <c r="G188" s="1"/>
      <c r="H188" s="36"/>
      <c r="I188" s="36"/>
      <c r="J188" s="36"/>
      <c r="K188" s="40"/>
    </row>
    <row r="189" spans="1:12" x14ac:dyDescent="0.3">
      <c r="A189" s="6" t="s">
        <v>363</v>
      </c>
      <c r="B189" s="7" t="s">
        <v>364</v>
      </c>
      <c r="C189" s="33">
        <v>1852.0744</v>
      </c>
      <c r="D189" s="8">
        <v>0.87305080531651313</v>
      </c>
      <c r="E189" s="9">
        <v>120</v>
      </c>
      <c r="F189" s="10" t="s">
        <v>293</v>
      </c>
      <c r="G189" s="1">
        <f t="shared" si="45"/>
        <v>222248.92799999999</v>
      </c>
      <c r="H189" s="36">
        <v>0</v>
      </c>
      <c r="I189" s="36">
        <v>0.83333333333333337</v>
      </c>
      <c r="J189" s="36">
        <v>7.2754233776376092E-3</v>
      </c>
      <c r="K189" s="37">
        <f t="shared" ref="K189:K196" si="64">G189*(H189/100)</f>
        <v>0</v>
      </c>
      <c r="L189">
        <f t="shared" ref="L189:L196" si="65">H189*D189/100</f>
        <v>0</v>
      </c>
    </row>
    <row r="190" spans="1:12" x14ac:dyDescent="0.3">
      <c r="A190" s="6" t="s">
        <v>365</v>
      </c>
      <c r="B190" s="7" t="s">
        <v>366</v>
      </c>
      <c r="C190" s="33">
        <v>786.5</v>
      </c>
      <c r="D190" s="8">
        <v>0.37074885241188893</v>
      </c>
      <c r="E190" s="9">
        <v>120</v>
      </c>
      <c r="F190" s="10" t="s">
        <v>293</v>
      </c>
      <c r="G190" s="1">
        <f t="shared" si="45"/>
        <v>94380</v>
      </c>
      <c r="H190" s="36">
        <v>0</v>
      </c>
      <c r="I190" s="36">
        <v>0.83333333333333337</v>
      </c>
      <c r="J190" s="36">
        <v>3.0895737700990743E-3</v>
      </c>
      <c r="K190" s="37">
        <f t="shared" si="64"/>
        <v>0</v>
      </c>
      <c r="L190">
        <f t="shared" si="65"/>
        <v>0</v>
      </c>
    </row>
    <row r="191" spans="1:12" x14ac:dyDescent="0.3">
      <c r="A191" s="6" t="s">
        <v>367</v>
      </c>
      <c r="B191" s="7" t="s">
        <v>368</v>
      </c>
      <c r="C191" s="33">
        <v>538.45000000000005</v>
      </c>
      <c r="D191" s="8">
        <v>0.25382036818967785</v>
      </c>
      <c r="E191" s="9">
        <v>120</v>
      </c>
      <c r="F191" s="10" t="s">
        <v>293</v>
      </c>
      <c r="G191" s="1">
        <f t="shared" si="45"/>
        <v>64614.000000000007</v>
      </c>
      <c r="H191" s="36">
        <v>0</v>
      </c>
      <c r="I191" s="36">
        <v>0.83333333333333337</v>
      </c>
      <c r="J191" s="36">
        <v>2.1151697349139822E-3</v>
      </c>
      <c r="K191" s="37">
        <f t="shared" si="64"/>
        <v>0</v>
      </c>
      <c r="L191">
        <f t="shared" si="65"/>
        <v>0</v>
      </c>
    </row>
    <row r="192" spans="1:12" x14ac:dyDescent="0.3">
      <c r="A192" s="6" t="s">
        <v>369</v>
      </c>
      <c r="B192" s="7" t="s">
        <v>370</v>
      </c>
      <c r="C192" s="33">
        <v>1093.9094</v>
      </c>
      <c r="D192" s="8">
        <v>0.51565881079793763</v>
      </c>
      <c r="E192" s="9">
        <v>120</v>
      </c>
      <c r="F192" s="10" t="s">
        <v>293</v>
      </c>
      <c r="G192" s="1">
        <f t="shared" si="45"/>
        <v>131269.128</v>
      </c>
      <c r="H192" s="36">
        <v>0</v>
      </c>
      <c r="I192" s="36">
        <v>0.83333333333333337</v>
      </c>
      <c r="J192" s="36">
        <v>4.2971567566494799E-3</v>
      </c>
      <c r="K192" s="37">
        <f t="shared" si="64"/>
        <v>0</v>
      </c>
      <c r="L192">
        <f t="shared" si="65"/>
        <v>0</v>
      </c>
    </row>
    <row r="193" spans="1:12" x14ac:dyDescent="0.3">
      <c r="A193" s="6" t="s">
        <v>371</v>
      </c>
      <c r="B193" s="7" t="s">
        <v>372</v>
      </c>
      <c r="C193" s="33">
        <v>524.6</v>
      </c>
      <c r="D193" s="8">
        <v>0.24729160581726245</v>
      </c>
      <c r="E193" s="9">
        <v>120</v>
      </c>
      <c r="F193" s="10" t="s">
        <v>293</v>
      </c>
      <c r="G193" s="1">
        <f t="shared" si="45"/>
        <v>62952</v>
      </c>
      <c r="H193" s="36">
        <v>0</v>
      </c>
      <c r="I193" s="36">
        <v>0.83333333333333337</v>
      </c>
      <c r="J193" s="36">
        <v>2.0607633818105204E-3</v>
      </c>
      <c r="K193" s="37">
        <f t="shared" si="64"/>
        <v>0</v>
      </c>
      <c r="L193">
        <f t="shared" si="65"/>
        <v>0</v>
      </c>
    </row>
    <row r="194" spans="1:12" x14ac:dyDescent="0.3">
      <c r="A194" s="6" t="s">
        <v>373</v>
      </c>
      <c r="B194" s="7" t="s">
        <v>374</v>
      </c>
      <c r="C194" s="33">
        <v>408.7</v>
      </c>
      <c r="D194" s="8">
        <v>0.1926574138343789</v>
      </c>
      <c r="E194" s="9">
        <v>120</v>
      </c>
      <c r="F194" s="10" t="s">
        <v>146</v>
      </c>
      <c r="G194" s="1">
        <f t="shared" si="45"/>
        <v>49044</v>
      </c>
      <c r="H194" s="36">
        <v>0</v>
      </c>
      <c r="I194" s="36">
        <v>0.83333333333333337</v>
      </c>
      <c r="J194" s="36">
        <v>1.605478448619824E-3</v>
      </c>
      <c r="K194" s="37">
        <f t="shared" si="64"/>
        <v>0</v>
      </c>
      <c r="L194">
        <f t="shared" si="65"/>
        <v>0</v>
      </c>
    </row>
    <row r="195" spans="1:12" x14ac:dyDescent="0.3">
      <c r="A195" s="6" t="s">
        <v>375</v>
      </c>
      <c r="B195" s="7" t="s">
        <v>376</v>
      </c>
      <c r="C195" s="33">
        <v>679.25</v>
      </c>
      <c r="D195" s="8">
        <v>0.32019219071935862</v>
      </c>
      <c r="E195" s="9">
        <v>120</v>
      </c>
      <c r="F195" s="10" t="s">
        <v>146</v>
      </c>
      <c r="G195" s="1">
        <f t="shared" si="45"/>
        <v>81510</v>
      </c>
      <c r="H195" s="36">
        <v>0</v>
      </c>
      <c r="I195" s="36">
        <v>0.83333333333333337</v>
      </c>
      <c r="J195" s="36">
        <v>2.6682682559946553E-3</v>
      </c>
      <c r="K195" s="37">
        <f t="shared" si="64"/>
        <v>0</v>
      </c>
      <c r="L195">
        <f t="shared" si="65"/>
        <v>0</v>
      </c>
    </row>
    <row r="196" spans="1:12" x14ac:dyDescent="0.3">
      <c r="A196" s="6" t="s">
        <v>377</v>
      </c>
      <c r="B196" s="7" t="s">
        <v>378</v>
      </c>
      <c r="C196" s="33">
        <v>17710.189999999999</v>
      </c>
      <c r="D196" s="8">
        <v>6.9570169723421393E-2</v>
      </c>
      <c r="E196" s="9">
        <v>1</v>
      </c>
      <c r="F196" s="10" t="s">
        <v>146</v>
      </c>
      <c r="G196" s="1">
        <f t="shared" ref="G196:G208" si="66">C196*E196</f>
        <v>17710.189999999999</v>
      </c>
      <c r="H196" s="36">
        <v>0</v>
      </c>
      <c r="I196" s="36">
        <v>0</v>
      </c>
      <c r="J196" s="36">
        <v>0</v>
      </c>
      <c r="K196" s="37">
        <f t="shared" si="64"/>
        <v>0</v>
      </c>
      <c r="L196">
        <f t="shared" si="65"/>
        <v>0</v>
      </c>
    </row>
    <row r="197" spans="1:12" x14ac:dyDescent="0.3">
      <c r="A197" s="11" t="s">
        <v>51</v>
      </c>
      <c r="B197" s="3" t="s">
        <v>52</v>
      </c>
      <c r="C197" s="32">
        <v>117901.8</v>
      </c>
      <c r="D197" s="12"/>
      <c r="E197" s="13"/>
      <c r="F197" s="13"/>
      <c r="G197" s="1"/>
      <c r="H197" s="36"/>
      <c r="I197" s="36"/>
      <c r="J197" s="36"/>
      <c r="K197" s="40"/>
    </row>
    <row r="198" spans="1:12" x14ac:dyDescent="0.3">
      <c r="A198" s="6" t="s">
        <v>379</v>
      </c>
      <c r="B198" s="7" t="s">
        <v>380</v>
      </c>
      <c r="C198" s="33">
        <v>154.23320000000001</v>
      </c>
      <c r="D198" s="8">
        <v>7.2704109222903171E-2</v>
      </c>
      <c r="E198" s="9">
        <v>120</v>
      </c>
      <c r="F198" s="10" t="s">
        <v>143</v>
      </c>
      <c r="G198" s="1">
        <f t="shared" si="66"/>
        <v>18507.984</v>
      </c>
      <c r="H198" s="36">
        <v>13.333333333333334</v>
      </c>
      <c r="I198" s="36">
        <v>100</v>
      </c>
      <c r="J198" s="36">
        <v>7.2704109222903171E-2</v>
      </c>
      <c r="K198" s="37">
        <f t="shared" ref="K198:K200" si="67">G198*(H198/100)</f>
        <v>2467.7312000000002</v>
      </c>
      <c r="L198">
        <f t="shared" ref="L198:L200" si="68">H198*D198/100</f>
        <v>9.6938812297204229E-3</v>
      </c>
    </row>
    <row r="199" spans="1:12" x14ac:dyDescent="0.3">
      <c r="A199" s="6" t="s">
        <v>381</v>
      </c>
      <c r="B199" s="7" t="s">
        <v>382</v>
      </c>
      <c r="C199" s="33">
        <v>85.243600000000001</v>
      </c>
      <c r="D199" s="8">
        <v>4.0183047521243603E-2</v>
      </c>
      <c r="E199" s="9">
        <v>120</v>
      </c>
      <c r="F199" s="10" t="s">
        <v>143</v>
      </c>
      <c r="G199" s="1">
        <f t="shared" si="66"/>
        <v>10229.232</v>
      </c>
      <c r="H199" s="36">
        <v>20</v>
      </c>
      <c r="I199" s="36">
        <v>53.333333333333336</v>
      </c>
      <c r="J199" s="36">
        <v>2.1430958677996589E-2</v>
      </c>
      <c r="K199" s="37">
        <f t="shared" si="67"/>
        <v>2045.8464000000001</v>
      </c>
      <c r="L199">
        <f t="shared" si="68"/>
        <v>8.036609504248721E-3</v>
      </c>
    </row>
    <row r="200" spans="1:12" x14ac:dyDescent="0.3">
      <c r="A200" s="6" t="s">
        <v>383</v>
      </c>
      <c r="B200" s="7" t="s">
        <v>384</v>
      </c>
      <c r="C200" s="33">
        <v>743.03819999999996</v>
      </c>
      <c r="D200" s="8">
        <v>0.35026136039185707</v>
      </c>
      <c r="E200" s="9">
        <v>120</v>
      </c>
      <c r="F200" s="10" t="s">
        <v>143</v>
      </c>
      <c r="G200" s="1">
        <f t="shared" si="66"/>
        <v>89164.584000000003</v>
      </c>
      <c r="H200" s="36">
        <v>20</v>
      </c>
      <c r="I200" s="36">
        <v>53.333333333333336</v>
      </c>
      <c r="J200" s="36">
        <v>0.1868060588756571</v>
      </c>
      <c r="K200" s="37">
        <f t="shared" si="67"/>
        <v>17832.916800000003</v>
      </c>
      <c r="L200">
        <f t="shared" si="68"/>
        <v>7.0052272078371405E-2</v>
      </c>
    </row>
    <row r="201" spans="1:12" x14ac:dyDescent="0.3">
      <c r="A201" s="11" t="s">
        <v>53</v>
      </c>
      <c r="B201" s="3" t="s">
        <v>54</v>
      </c>
      <c r="C201" s="32">
        <v>30772.248</v>
      </c>
      <c r="D201" s="12"/>
      <c r="E201" s="13"/>
      <c r="F201" s="13"/>
      <c r="G201" s="1"/>
      <c r="H201" s="36"/>
      <c r="I201" s="36"/>
      <c r="J201" s="36"/>
      <c r="K201" s="40"/>
    </row>
    <row r="202" spans="1:12" x14ac:dyDescent="0.3">
      <c r="A202" s="6" t="s">
        <v>385</v>
      </c>
      <c r="B202" s="7" t="s">
        <v>386</v>
      </c>
      <c r="C202" s="33">
        <v>7029.9359999999997</v>
      </c>
      <c r="D202" s="8">
        <v>2.7615392080197337E-2</v>
      </c>
      <c r="E202" s="9">
        <v>1</v>
      </c>
      <c r="F202" s="10" t="s">
        <v>58</v>
      </c>
      <c r="G202" s="1">
        <f t="shared" si="66"/>
        <v>7029.9359999999997</v>
      </c>
      <c r="H202" s="36">
        <v>0</v>
      </c>
      <c r="I202" s="36">
        <v>0</v>
      </c>
      <c r="J202" s="36">
        <v>0</v>
      </c>
      <c r="K202" s="37">
        <f t="shared" ref="K202:K205" si="69">G202*(H202/100)</f>
        <v>0</v>
      </c>
      <c r="L202">
        <f t="shared" ref="L202:L208" si="70">H202*D202/100</f>
        <v>0</v>
      </c>
    </row>
    <row r="203" spans="1:12" x14ac:dyDescent="0.3">
      <c r="A203" s="6" t="s">
        <v>387</v>
      </c>
      <c r="B203" s="7" t="s">
        <v>388</v>
      </c>
      <c r="C203" s="33">
        <v>5886</v>
      </c>
      <c r="D203" s="8">
        <v>2.3121718004835538E-2</v>
      </c>
      <c r="E203" s="9">
        <v>1</v>
      </c>
      <c r="F203" s="10" t="s">
        <v>146</v>
      </c>
      <c r="G203" s="1">
        <f t="shared" si="66"/>
        <v>5886</v>
      </c>
      <c r="H203" s="36">
        <v>0</v>
      </c>
      <c r="I203" s="36">
        <v>0</v>
      </c>
      <c r="J203" s="36">
        <v>0</v>
      </c>
      <c r="K203" s="37">
        <f t="shared" si="69"/>
        <v>0</v>
      </c>
      <c r="L203">
        <f t="shared" si="70"/>
        <v>0</v>
      </c>
    </row>
    <row r="204" spans="1:12" x14ac:dyDescent="0.3">
      <c r="A204" s="6" t="s">
        <v>389</v>
      </c>
      <c r="B204" s="7" t="s">
        <v>390</v>
      </c>
      <c r="C204" s="33">
        <v>16356</v>
      </c>
      <c r="D204" s="8">
        <v>6.42505639971271E-2</v>
      </c>
      <c r="E204" s="9">
        <v>1</v>
      </c>
      <c r="F204" s="10" t="s">
        <v>146</v>
      </c>
      <c r="G204" s="1">
        <f t="shared" si="66"/>
        <v>16356</v>
      </c>
      <c r="H204" s="36">
        <v>0</v>
      </c>
      <c r="I204" s="36">
        <v>0</v>
      </c>
      <c r="J204" s="36">
        <v>0</v>
      </c>
      <c r="K204" s="37">
        <f t="shared" si="69"/>
        <v>0</v>
      </c>
      <c r="L204">
        <f t="shared" si="70"/>
        <v>0</v>
      </c>
    </row>
    <row r="205" spans="1:12" x14ac:dyDescent="0.3">
      <c r="A205" s="6" t="s">
        <v>391</v>
      </c>
      <c r="B205" s="7" t="s">
        <v>392</v>
      </c>
      <c r="C205" s="33">
        <v>1500.3119999999999</v>
      </c>
      <c r="D205" s="8">
        <v>5.8936104286902505E-3</v>
      </c>
      <c r="E205" s="9">
        <v>1</v>
      </c>
      <c r="F205" s="10" t="s">
        <v>146</v>
      </c>
      <c r="G205" s="1">
        <f t="shared" si="66"/>
        <v>1500.3119999999999</v>
      </c>
      <c r="H205" s="36">
        <v>0</v>
      </c>
      <c r="I205" s="36">
        <v>0</v>
      </c>
      <c r="J205" s="36">
        <v>0</v>
      </c>
      <c r="K205" s="37">
        <f t="shared" si="69"/>
        <v>0</v>
      </c>
      <c r="L205">
        <f t="shared" si="70"/>
        <v>0</v>
      </c>
    </row>
    <row r="206" spans="1:12" x14ac:dyDescent="0.3">
      <c r="A206" s="11">
        <v>9</v>
      </c>
      <c r="B206" s="3" t="s">
        <v>55</v>
      </c>
      <c r="C206" s="32">
        <v>249474.348</v>
      </c>
      <c r="D206" s="12">
        <f>0.0097999*100</f>
        <v>0.97999000000000003</v>
      </c>
      <c r="E206" s="13"/>
      <c r="F206" s="13"/>
      <c r="G206" s="1"/>
      <c r="H206" s="36">
        <f>SUM(L207:L208)</f>
        <v>0</v>
      </c>
      <c r="I206" s="36">
        <f>AVERAGE(I207:I208)</f>
        <v>0.41666666666666669</v>
      </c>
      <c r="J206" s="36">
        <f>0.00680628254412754*100</f>
        <v>0.68062825441275399</v>
      </c>
      <c r="K206" s="39">
        <f t="shared" ref="K206" si="71">SUM(K207:K208)</f>
        <v>0</v>
      </c>
    </row>
    <row r="207" spans="1:12" x14ac:dyDescent="0.3">
      <c r="A207" s="6" t="s">
        <v>393</v>
      </c>
      <c r="B207" s="7" t="s">
        <v>394</v>
      </c>
      <c r="C207" s="33">
        <v>1697.9929000000002</v>
      </c>
      <c r="D207" s="8">
        <v>0.80041820607569658</v>
      </c>
      <c r="E207" s="9">
        <v>120</v>
      </c>
      <c r="F207" s="10" t="s">
        <v>143</v>
      </c>
      <c r="G207" s="1">
        <f t="shared" si="66"/>
        <v>203759.14800000002</v>
      </c>
      <c r="H207" s="36">
        <v>0</v>
      </c>
      <c r="I207" s="36">
        <v>0.83333333333333337</v>
      </c>
      <c r="J207" s="36">
        <v>6.6701517172974715E-3</v>
      </c>
      <c r="K207" s="37">
        <f t="shared" ref="K207:K208" si="72">G207*(H207/100)</f>
        <v>0</v>
      </c>
      <c r="L207">
        <f t="shared" si="70"/>
        <v>0</v>
      </c>
    </row>
    <row r="208" spans="1:12" x14ac:dyDescent="0.3">
      <c r="A208" s="6" t="s">
        <v>395</v>
      </c>
      <c r="B208" s="7" t="s">
        <v>396</v>
      </c>
      <c r="C208" s="33">
        <v>45715.199999999997</v>
      </c>
      <c r="D208" s="8">
        <v>0.17958103345814774</v>
      </c>
      <c r="E208" s="9">
        <v>1</v>
      </c>
      <c r="F208" s="10" t="s">
        <v>146</v>
      </c>
      <c r="G208" s="1">
        <f t="shared" si="66"/>
        <v>45715.199999999997</v>
      </c>
      <c r="H208" s="36">
        <v>0</v>
      </c>
      <c r="I208" s="36">
        <v>0</v>
      </c>
      <c r="J208" s="36">
        <v>0</v>
      </c>
      <c r="K208" s="37">
        <f t="shared" si="72"/>
        <v>0</v>
      </c>
      <c r="L208">
        <f t="shared" si="70"/>
        <v>0</v>
      </c>
    </row>
    <row r="209" spans="3:11" x14ac:dyDescent="0.3">
      <c r="C209" s="1">
        <f>SUM(C206,C139,C119,C89,C73,C45,C27,C13,C2)</f>
        <v>25441071.544399999</v>
      </c>
      <c r="G209" s="35" t="s">
        <v>399</v>
      </c>
      <c r="H209" s="36">
        <v>4.4776653850378603</v>
      </c>
      <c r="I209" t="s">
        <v>398</v>
      </c>
      <c r="J209" s="36">
        <v>57.941238513951596</v>
      </c>
      <c r="K209" s="37">
        <f>K139+K119+K89+K73+K45+K27+K13+K2+K206</f>
        <v>1139860.7339999997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Soares</dc:creator>
  <cp:lastModifiedBy>Ramon Soares</cp:lastModifiedBy>
  <dcterms:created xsi:type="dcterms:W3CDTF">2026-03-23T19:18:02Z</dcterms:created>
  <dcterms:modified xsi:type="dcterms:W3CDTF">2026-04-14T16:47:55Z</dcterms:modified>
</cp:coreProperties>
</file>