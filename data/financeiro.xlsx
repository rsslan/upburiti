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17" documentId="13_ncr:1_{65708F8A-302A-4C8D-BA9E-617DD09D7885}" xr6:coauthVersionLast="47" xr6:coauthVersionMax="47" xr10:uidLastSave="{11F1DAEE-3D1B-4A16-BF95-7C0AE909316E}"/>
  <bookViews>
    <workbookView xWindow="-108" yWindow="-108" windowWidth="23256" windowHeight="13896" xr2:uid="{00000000-000D-0000-FFFF-FFFF00000000}"/>
  </bookViews>
  <sheets>
    <sheet name="Plan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6" i="1" l="1"/>
  <c r="M1" i="1"/>
  <c r="N1" i="1"/>
  <c r="O1" i="1"/>
  <c r="P1" i="1"/>
  <c r="Q1" i="1"/>
  <c r="R1" i="1"/>
  <c r="M2" i="1"/>
  <c r="N2" i="1"/>
  <c r="O2" i="1"/>
  <c r="P2" i="1"/>
  <c r="Q2" i="1"/>
  <c r="R2" i="1"/>
  <c r="M3" i="1"/>
  <c r="N3" i="1"/>
  <c r="O3" i="1"/>
  <c r="P3" i="1"/>
  <c r="Q3" i="1"/>
  <c r="R3" i="1"/>
  <c r="M4" i="1"/>
  <c r="N4" i="1"/>
  <c r="O4" i="1"/>
  <c r="P4" i="1"/>
  <c r="Q4" i="1"/>
  <c r="R4" i="1"/>
  <c r="M5" i="1"/>
  <c r="N5" i="1"/>
  <c r="O5" i="1"/>
  <c r="P5" i="1"/>
  <c r="Q5" i="1"/>
  <c r="R5" i="1"/>
  <c r="M6" i="1"/>
  <c r="N6" i="1"/>
  <c r="O6" i="1"/>
  <c r="P6" i="1"/>
  <c r="Q6" i="1"/>
  <c r="R6" i="1"/>
  <c r="M7" i="1"/>
  <c r="N7" i="1"/>
  <c r="O7" i="1"/>
  <c r="P7" i="1"/>
  <c r="Q7" i="1"/>
  <c r="R7" i="1"/>
  <c r="M8" i="1"/>
  <c r="N8" i="1"/>
  <c r="O8" i="1"/>
  <c r="P8" i="1"/>
  <c r="Q8" i="1"/>
  <c r="R8" i="1"/>
  <c r="M9" i="1"/>
  <c r="N9" i="1"/>
  <c r="O9" i="1"/>
  <c r="P9" i="1"/>
  <c r="Q9" i="1"/>
  <c r="R9" i="1"/>
  <c r="M10" i="1"/>
  <c r="N10" i="1"/>
  <c r="O10" i="1"/>
  <c r="P10" i="1"/>
  <c r="Q10" i="1"/>
  <c r="R10" i="1"/>
  <c r="M11" i="1"/>
  <c r="N11" i="1"/>
  <c r="O11" i="1"/>
  <c r="P11" i="1"/>
  <c r="Q11" i="1"/>
  <c r="R11" i="1"/>
  <c r="M12" i="1"/>
  <c r="N12" i="1"/>
  <c r="O12" i="1"/>
  <c r="P12" i="1"/>
  <c r="Q12" i="1"/>
  <c r="R12" i="1"/>
  <c r="M13" i="1"/>
  <c r="N13" i="1"/>
  <c r="O13" i="1"/>
  <c r="P13" i="1"/>
  <c r="Q13" i="1"/>
  <c r="R13" i="1"/>
  <c r="M14" i="1"/>
  <c r="N14" i="1"/>
  <c r="O14" i="1"/>
  <c r="P14" i="1"/>
  <c r="Q14" i="1"/>
  <c r="R14" i="1"/>
  <c r="M15" i="1"/>
  <c r="N15" i="1"/>
  <c r="O15" i="1"/>
  <c r="P15" i="1"/>
  <c r="Q15" i="1"/>
  <c r="R15" i="1"/>
  <c r="M16" i="1"/>
  <c r="N16" i="1"/>
  <c r="O16" i="1"/>
  <c r="P16" i="1"/>
  <c r="Q16" i="1"/>
  <c r="R16" i="1"/>
  <c r="M17" i="1"/>
  <c r="N17" i="1"/>
  <c r="O17" i="1"/>
  <c r="P17" i="1"/>
  <c r="Q17" i="1"/>
  <c r="R17" i="1"/>
  <c r="M18" i="1"/>
  <c r="N18" i="1"/>
  <c r="O18" i="1"/>
  <c r="P18" i="1"/>
  <c r="Q18" i="1"/>
  <c r="R18" i="1"/>
  <c r="M19" i="1"/>
  <c r="N19" i="1"/>
  <c r="O19" i="1"/>
  <c r="P19" i="1"/>
  <c r="Q19" i="1"/>
  <c r="R19" i="1"/>
  <c r="M20" i="1"/>
  <c r="N20" i="1"/>
  <c r="O20" i="1"/>
  <c r="P20" i="1"/>
  <c r="Q20" i="1"/>
  <c r="R20" i="1"/>
  <c r="M21" i="1"/>
  <c r="N21" i="1"/>
  <c r="O21" i="1"/>
  <c r="P21" i="1"/>
  <c r="Q21" i="1"/>
  <c r="R21" i="1"/>
  <c r="M22" i="1"/>
  <c r="N22" i="1"/>
  <c r="O22" i="1"/>
  <c r="P22" i="1"/>
  <c r="Q22" i="1"/>
  <c r="R22" i="1"/>
  <c r="M23" i="1"/>
  <c r="N23" i="1"/>
  <c r="O23" i="1"/>
  <c r="P23" i="1"/>
  <c r="Q23" i="1"/>
  <c r="R23" i="1"/>
  <c r="M24" i="1"/>
  <c r="N24" i="1"/>
  <c r="O24" i="1"/>
  <c r="P24" i="1"/>
  <c r="Q24" i="1"/>
  <c r="R24" i="1"/>
  <c r="M25" i="1"/>
  <c r="N25" i="1"/>
  <c r="O25" i="1"/>
  <c r="P25" i="1"/>
  <c r="Q25" i="1"/>
  <c r="R25" i="1"/>
  <c r="M26" i="1"/>
  <c r="N26" i="1"/>
  <c r="O26" i="1"/>
  <c r="P26" i="1"/>
  <c r="Q26" i="1"/>
  <c r="R26" i="1"/>
  <c r="M27" i="1"/>
  <c r="N27" i="1"/>
  <c r="O27" i="1"/>
  <c r="P27" i="1"/>
  <c r="Q27" i="1"/>
  <c r="R27" i="1"/>
  <c r="M28" i="1"/>
  <c r="N28" i="1"/>
  <c r="O28" i="1"/>
  <c r="P28" i="1"/>
  <c r="Q28" i="1"/>
  <c r="R28" i="1"/>
  <c r="M29" i="1"/>
  <c r="N29" i="1"/>
  <c r="O29" i="1"/>
  <c r="P29" i="1"/>
  <c r="Q29" i="1"/>
  <c r="R29" i="1"/>
  <c r="M30" i="1"/>
  <c r="N30" i="1"/>
  <c r="O30" i="1"/>
  <c r="P30" i="1"/>
  <c r="Q30" i="1"/>
  <c r="R30" i="1"/>
  <c r="M31" i="1"/>
  <c r="N31" i="1"/>
  <c r="O31" i="1"/>
  <c r="P31" i="1"/>
  <c r="Q31" i="1"/>
  <c r="R31" i="1"/>
  <c r="M32" i="1"/>
  <c r="N32" i="1"/>
  <c r="O32" i="1"/>
  <c r="P32" i="1"/>
  <c r="Q32" i="1"/>
  <c r="R32" i="1"/>
  <c r="M33" i="1"/>
  <c r="N33" i="1"/>
  <c r="O33" i="1"/>
  <c r="P33" i="1"/>
  <c r="Q33" i="1"/>
  <c r="R33" i="1"/>
  <c r="M34" i="1"/>
  <c r="N34" i="1"/>
  <c r="O34" i="1"/>
  <c r="P34" i="1"/>
  <c r="Q34" i="1"/>
  <c r="R34" i="1"/>
  <c r="M35" i="1"/>
  <c r="N35" i="1"/>
  <c r="O35" i="1"/>
  <c r="P35" i="1"/>
  <c r="Q35" i="1"/>
  <c r="R35" i="1"/>
  <c r="M36" i="1"/>
  <c r="N36" i="1"/>
  <c r="O36" i="1"/>
  <c r="P36" i="1"/>
  <c r="Q36" i="1"/>
  <c r="R36" i="1"/>
  <c r="M37" i="1"/>
  <c r="N37" i="1"/>
  <c r="O37" i="1"/>
  <c r="P37" i="1"/>
  <c r="Q37" i="1"/>
  <c r="R37" i="1"/>
  <c r="M38" i="1"/>
  <c r="N38" i="1"/>
  <c r="O38" i="1"/>
  <c r="P38" i="1"/>
  <c r="Q38" i="1"/>
  <c r="R38" i="1"/>
  <c r="M39" i="1"/>
  <c r="N39" i="1"/>
  <c r="O39" i="1"/>
  <c r="P39" i="1"/>
  <c r="Q39" i="1"/>
  <c r="R39" i="1"/>
  <c r="M40" i="1"/>
  <c r="N40" i="1"/>
  <c r="O40" i="1"/>
  <c r="P40" i="1"/>
  <c r="Q40" i="1"/>
  <c r="R40" i="1"/>
  <c r="M41" i="1"/>
  <c r="N41" i="1"/>
  <c r="O41" i="1"/>
  <c r="P41" i="1"/>
  <c r="Q41" i="1"/>
  <c r="R41" i="1"/>
  <c r="M42" i="1"/>
  <c r="N42" i="1"/>
  <c r="O42" i="1"/>
  <c r="P42" i="1"/>
  <c r="Q42" i="1"/>
  <c r="R42" i="1"/>
  <c r="M43" i="1"/>
  <c r="N43" i="1"/>
  <c r="O43" i="1"/>
  <c r="P43" i="1"/>
  <c r="Q43" i="1"/>
  <c r="R43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M48" i="1"/>
  <c r="N48" i="1"/>
  <c r="O48" i="1"/>
  <c r="P48" i="1"/>
  <c r="Q48" i="1"/>
  <c r="R48" i="1"/>
  <c r="M49" i="1"/>
  <c r="N49" i="1"/>
  <c r="O49" i="1"/>
  <c r="P49" i="1"/>
  <c r="Q49" i="1"/>
  <c r="R49" i="1"/>
  <c r="M50" i="1"/>
  <c r="N50" i="1"/>
  <c r="O50" i="1"/>
  <c r="P50" i="1"/>
  <c r="Q50" i="1"/>
  <c r="R50" i="1"/>
  <c r="M51" i="1"/>
  <c r="N51" i="1"/>
  <c r="O51" i="1"/>
  <c r="P51" i="1"/>
  <c r="Q51" i="1"/>
  <c r="R51" i="1"/>
  <c r="M52" i="1"/>
  <c r="N52" i="1"/>
  <c r="O52" i="1"/>
  <c r="P52" i="1"/>
  <c r="Q52" i="1"/>
  <c r="R52" i="1"/>
  <c r="M53" i="1"/>
  <c r="N53" i="1"/>
  <c r="O53" i="1"/>
  <c r="P53" i="1"/>
  <c r="Q53" i="1"/>
  <c r="R53" i="1"/>
  <c r="M54" i="1"/>
  <c r="N54" i="1"/>
  <c r="O54" i="1"/>
  <c r="P54" i="1"/>
  <c r="Q54" i="1"/>
  <c r="R54" i="1"/>
  <c r="M55" i="1"/>
  <c r="N55" i="1"/>
  <c r="O55" i="1"/>
  <c r="P55" i="1"/>
  <c r="Q55" i="1"/>
  <c r="R55" i="1"/>
  <c r="M56" i="1"/>
  <c r="N56" i="1"/>
  <c r="O56" i="1"/>
  <c r="P56" i="1"/>
  <c r="Q56" i="1"/>
  <c r="R56" i="1"/>
  <c r="M57" i="1"/>
  <c r="N57" i="1"/>
  <c r="O57" i="1"/>
  <c r="P57" i="1"/>
  <c r="Q57" i="1"/>
  <c r="R57" i="1"/>
  <c r="M58" i="1"/>
  <c r="N58" i="1"/>
  <c r="O58" i="1"/>
  <c r="P58" i="1"/>
  <c r="Q58" i="1"/>
  <c r="R58" i="1"/>
  <c r="M59" i="1"/>
  <c r="N59" i="1"/>
  <c r="O59" i="1"/>
  <c r="P59" i="1"/>
  <c r="Q59" i="1"/>
  <c r="R59" i="1"/>
  <c r="M60" i="1"/>
  <c r="N60" i="1"/>
  <c r="O60" i="1"/>
  <c r="P60" i="1"/>
  <c r="Q60" i="1"/>
  <c r="R60" i="1"/>
  <c r="M61" i="1"/>
  <c r="N61" i="1"/>
  <c r="O61" i="1"/>
  <c r="P61" i="1"/>
  <c r="Q61" i="1"/>
  <c r="R61" i="1"/>
  <c r="M62" i="1"/>
  <c r="N62" i="1"/>
  <c r="O62" i="1"/>
  <c r="P62" i="1"/>
  <c r="Q62" i="1"/>
  <c r="R62" i="1"/>
  <c r="M63" i="1"/>
  <c r="N63" i="1"/>
  <c r="O63" i="1"/>
  <c r="P63" i="1"/>
  <c r="Q63" i="1"/>
  <c r="R63" i="1"/>
  <c r="AC12" i="1"/>
  <c r="AC11" i="1"/>
  <c r="AC10" i="1"/>
  <c r="Z20" i="1"/>
  <c r="AC9" i="1"/>
  <c r="Z4" i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3" i="1"/>
  <c r="Z2" i="1"/>
  <c r="AJ47" i="1"/>
  <c r="AJ46" i="1"/>
  <c r="AN26" i="1"/>
  <c r="AN25" i="1"/>
  <c r="AN24" i="1"/>
  <c r="AN20" i="1"/>
  <c r="AC8" i="1"/>
  <c r="AK42" i="1"/>
  <c r="AK39" i="1"/>
  <c r="AC7" i="1"/>
  <c r="AK16" i="1"/>
  <c r="AK17" i="1"/>
  <c r="AK15" i="1"/>
  <c r="E29" i="1" l="1"/>
  <c r="G29" i="1"/>
  <c r="F29" i="1"/>
  <c r="E33" i="1"/>
  <c r="G31" i="1"/>
  <c r="F31" i="1"/>
  <c r="E31" i="1"/>
  <c r="G33" i="1"/>
  <c r="F33" i="1"/>
  <c r="D29" i="1" l="1"/>
  <c r="I29" i="1" l="1"/>
  <c r="I33" i="1"/>
  <c r="D31" i="1"/>
  <c r="D33" i="1"/>
  <c r="E34" i="1"/>
  <c r="G34" i="1"/>
  <c r="E32" i="1"/>
  <c r="F32" i="1"/>
  <c r="G32" i="1"/>
  <c r="F34" i="1"/>
  <c r="H29" i="1" l="1"/>
  <c r="I24" i="1"/>
  <c r="H33" i="1"/>
  <c r="H31" i="1"/>
  <c r="D34" i="1"/>
  <c r="D32" i="1"/>
  <c r="I10" i="1" l="1"/>
  <c r="I3" i="1"/>
  <c r="I9" i="1"/>
  <c r="I25" i="1"/>
  <c r="J11" i="1"/>
  <c r="J27" i="1"/>
  <c r="H14" i="1"/>
  <c r="H24" i="1"/>
  <c r="H15" i="1"/>
  <c r="J16" i="1"/>
  <c r="H7" i="1"/>
  <c r="H8" i="1"/>
  <c r="H10" i="1"/>
  <c r="H12" i="1"/>
  <c r="H30" i="1"/>
  <c r="H3" i="1"/>
  <c r="H5" i="1"/>
  <c r="H19" i="1"/>
  <c r="H21" i="1"/>
  <c r="I7" i="1"/>
  <c r="H26" i="1"/>
  <c r="H23" i="1"/>
  <c r="H13" i="1"/>
  <c r="H25" i="1"/>
  <c r="H6" i="1"/>
  <c r="H4" i="1"/>
  <c r="H28" i="1"/>
  <c r="I18" i="1"/>
  <c r="H2" i="1"/>
  <c r="I19" i="1"/>
  <c r="H22" i="1"/>
  <c r="H20" i="1"/>
  <c r="H17" i="1"/>
  <c r="H18" i="1"/>
  <c r="I30" i="1"/>
  <c r="F27" i="1"/>
  <c r="D11" i="1"/>
  <c r="G27" i="1"/>
  <c r="G11" i="1"/>
  <c r="F11" i="1"/>
  <c r="I16" i="1"/>
  <c r="D27" i="1"/>
  <c r="E27" i="1"/>
  <c r="E11" i="1"/>
  <c r="I20" i="1"/>
  <c r="F16" i="1"/>
  <c r="G16" i="1"/>
  <c r="D16" i="1"/>
  <c r="E8" i="1"/>
  <c r="F9" i="1"/>
  <c r="G5" i="1"/>
  <c r="E16" i="1"/>
  <c r="F14" i="1"/>
  <c r="G3" i="1"/>
  <c r="E5" i="1"/>
  <c r="G14" i="1"/>
  <c r="G8" i="1"/>
  <c r="F8" i="1"/>
  <c r="G30" i="1"/>
  <c r="F15" i="1"/>
  <c r="F7" i="1"/>
  <c r="E9" i="1"/>
  <c r="G19" i="1"/>
  <c r="D9" i="1"/>
  <c r="G24" i="1"/>
  <c r="G9" i="1"/>
  <c r="E3" i="1"/>
  <c r="F30" i="1"/>
  <c r="F3" i="1"/>
  <c r="F5" i="1"/>
  <c r="E24" i="1"/>
  <c r="G15" i="1"/>
  <c r="E14" i="1"/>
  <c r="E19" i="1"/>
  <c r="E15" i="1"/>
  <c r="E7" i="1"/>
  <c r="F19" i="1"/>
  <c r="G7" i="1"/>
  <c r="H27" i="1"/>
  <c r="E30" i="1"/>
  <c r="F24" i="1"/>
  <c r="H11" i="1"/>
  <c r="F26" i="1"/>
  <c r="E25" i="1"/>
  <c r="G25" i="1"/>
  <c r="G4" i="1"/>
  <c r="G23" i="1"/>
  <c r="I5" i="1"/>
  <c r="G26" i="1"/>
  <c r="E26" i="1"/>
  <c r="E2" i="1"/>
  <c r="F4" i="1"/>
  <c r="D15" i="1"/>
  <c r="F10" i="1"/>
  <c r="F25" i="1"/>
  <c r="E4" i="1"/>
  <c r="H16" i="1"/>
  <c r="E10" i="1"/>
  <c r="F28" i="1"/>
  <c r="D22" i="1"/>
  <c r="E28" i="1"/>
  <c r="G20" i="1"/>
  <c r="G6" i="1"/>
  <c r="G18" i="1"/>
  <c r="F2" i="1"/>
  <c r="I11" i="1"/>
  <c r="F18" i="1"/>
  <c r="G10" i="1"/>
  <c r="F13" i="1"/>
  <c r="G17" i="1"/>
  <c r="H9" i="1"/>
  <c r="D10" i="1"/>
  <c r="D5" i="1"/>
  <c r="F22" i="1"/>
  <c r="E22" i="1"/>
  <c r="E18" i="1"/>
  <c r="G2" i="1"/>
  <c r="F23" i="1"/>
  <c r="G21" i="1"/>
  <c r="G12" i="1"/>
  <c r="D4" i="1"/>
  <c r="E13" i="1"/>
  <c r="E6" i="1"/>
  <c r="E21" i="1"/>
  <c r="F21" i="1"/>
  <c r="D7" i="1"/>
  <c r="G28" i="1"/>
  <c r="G13" i="1"/>
  <c r="E23" i="1"/>
  <c r="F12" i="1"/>
  <c r="D12" i="1"/>
  <c r="F20" i="1"/>
  <c r="F17" i="1"/>
  <c r="I27" i="1"/>
  <c r="E12" i="1"/>
  <c r="I14" i="1"/>
  <c r="D13" i="1"/>
  <c r="D20" i="1"/>
  <c r="D8" i="1"/>
  <c r="D2" i="1"/>
  <c r="I15" i="1"/>
  <c r="G22" i="1"/>
  <c r="D17" i="1"/>
  <c r="D24" i="1"/>
  <c r="D25" i="1"/>
  <c r="D21" i="1"/>
  <c r="E20" i="1"/>
  <c r="D23" i="1"/>
  <c r="D19" i="1"/>
  <c r="D3" i="1"/>
  <c r="D26" i="1"/>
  <c r="D28" i="1"/>
  <c r="D14" i="1"/>
  <c r="D30" i="1"/>
  <c r="D6" i="1"/>
  <c r="E17" i="1"/>
  <c r="F6" i="1"/>
  <c r="D18" i="1"/>
  <c r="K27" i="1"/>
  <c r="K11" i="1"/>
  <c r="J9" i="1"/>
  <c r="J3" i="1"/>
  <c r="J30" i="1"/>
  <c r="J24" i="1"/>
  <c r="J15" i="1"/>
  <c r="J19" i="1"/>
  <c r="J5" i="1"/>
  <c r="J7" i="1"/>
  <c r="J29" i="1"/>
  <c r="J20" i="1"/>
  <c r="J14" i="1"/>
  <c r="K16" i="1"/>
  <c r="J33" i="1"/>
  <c r="J25" i="1"/>
  <c r="I4" i="1"/>
  <c r="I13" i="1"/>
  <c r="J18" i="1"/>
  <c r="I2" i="1"/>
  <c r="I6" i="1"/>
  <c r="I21" i="1"/>
  <c r="I23" i="1"/>
  <c r="I17" i="1"/>
  <c r="I26" i="1"/>
  <c r="I12" i="1"/>
  <c r="I28" i="1"/>
  <c r="I32" i="1"/>
  <c r="H34" i="1"/>
  <c r="H32" i="1"/>
  <c r="K9" i="1" l="1"/>
  <c r="J13" i="1"/>
  <c r="J26" i="1"/>
  <c r="J4" i="1"/>
  <c r="J17" i="1"/>
  <c r="J12" i="1"/>
  <c r="J21" i="1"/>
  <c r="J23" i="1"/>
  <c r="J6" i="1"/>
  <c r="J2" i="1"/>
  <c r="J10" i="1"/>
  <c r="J28" i="1"/>
  <c r="K3" i="1"/>
  <c r="K30" i="1"/>
  <c r="K19" i="1"/>
  <c r="K24" i="1"/>
  <c r="K15" i="1"/>
  <c r="K5" i="1"/>
  <c r="K29" i="1"/>
  <c r="K7" i="1"/>
  <c r="K14" i="1"/>
  <c r="K20" i="1"/>
  <c r="K18" i="1"/>
  <c r="K33" i="1"/>
  <c r="K25" i="1"/>
  <c r="J32" i="1"/>
  <c r="K13" i="1" l="1"/>
  <c r="K21" i="1"/>
  <c r="K26" i="1"/>
  <c r="K10" i="1"/>
  <c r="K4" i="1"/>
  <c r="K2" i="1"/>
  <c r="K28" i="1"/>
  <c r="K12" i="1"/>
  <c r="K6" i="1"/>
  <c r="K17" i="1"/>
  <c r="K23" i="1"/>
  <c r="K32" i="1"/>
  <c r="I34" i="1" l="1"/>
  <c r="J34" i="1" l="1"/>
  <c r="K34" i="1" l="1"/>
  <c r="I22" i="1" l="1"/>
  <c r="J22" i="1" l="1"/>
  <c r="K22" i="1" l="1"/>
  <c r="I8" i="1" l="1"/>
  <c r="J8" i="1" l="1"/>
  <c r="K8" i="1" l="1"/>
  <c r="I31" i="1" l="1"/>
  <c r="J31" i="1" l="1"/>
  <c r="K31" i="1" l="1"/>
</calcChain>
</file>

<file path=xl/sharedStrings.xml><?xml version="1.0" encoding="utf-8"?>
<sst xmlns="http://schemas.openxmlformats.org/spreadsheetml/2006/main" count="149" uniqueCount="141">
  <si>
    <t>ID</t>
  </si>
  <si>
    <t>SERVIÇO</t>
  </si>
  <si>
    <t>ORÇADO</t>
  </si>
  <si>
    <t>CUSTO AO TERMINO</t>
  </si>
  <si>
    <t>ESTOURO/ECONOMIA</t>
  </si>
  <si>
    <t>SERVIÇOS PRELIMINARES E GERAIS</t>
  </si>
  <si>
    <t>IMPLANTAÇÃO DA OBRA</t>
  </si>
  <si>
    <t>EQUIPAMENTOS / FERRAMENTAS</t>
  </si>
  <si>
    <t>LIMPEZA E DESMOBILIZACAO</t>
  </si>
  <si>
    <t>ADMINISTRAÇÃO DA OBRA</t>
  </si>
  <si>
    <t>MOVIMENTO DE TERRA</t>
  </si>
  <si>
    <t>CONTENÇÃO</t>
  </si>
  <si>
    <t>FUNDAÇÃO</t>
  </si>
  <si>
    <t>ESTRUTURA</t>
  </si>
  <si>
    <t>INSTALAÇÕES ELÉTRICAS/ TELEFÔNICAS/ SPDA</t>
  </si>
  <si>
    <t>INSTALAÇÕES DE AR CONDICIONADO /EXAUSTÃO/PRESSURIZAÇÃO/ALARME E DETECÇÃO</t>
  </si>
  <si>
    <t>INSTALAÇÕES HIDROSSANITÁRIA, GÁS E INCÊNDIO</t>
  </si>
  <si>
    <t>BANCADAS, SOLEIRAS E  PEITORIS</t>
  </si>
  <si>
    <t>ALVENARIA DE VEDAÇÃO</t>
  </si>
  <si>
    <t>ESQUADRIAS DE MADEIRA</t>
  </si>
  <si>
    <t>ESQUADRIAS METÁLICAS</t>
  </si>
  <si>
    <t>REVESTIMENTO DE GESSO PROJETADO</t>
  </si>
  <si>
    <t>REVESTIMENTO CERÂMICO - PAREDES</t>
  </si>
  <si>
    <t>FORROS</t>
  </si>
  <si>
    <t>PAVIMENTAÇÃO</t>
  </si>
  <si>
    <t>PINTURA</t>
  </si>
  <si>
    <t>REVESTIMENTOS EXTERNOS</t>
  </si>
  <si>
    <t>IMPERMEABILIZAÇÃO</t>
  </si>
  <si>
    <t>INSTALAÇÕES ESPECIAIS</t>
  </si>
  <si>
    <t>LOUÇAS/METAIS</t>
  </si>
  <si>
    <t>PAISAGISMO</t>
  </si>
  <si>
    <t>SERVIÇOS COMPLEMENTARES</t>
  </si>
  <si>
    <t>LIMPEZA E DESMOBILIZAÇÃO</t>
  </si>
  <si>
    <t>PAGO</t>
  </si>
  <si>
    <t>A PAGAR</t>
  </si>
  <si>
    <t>SALDO DE CONTRATOS</t>
  </si>
  <si>
    <t>PEDIDOS</t>
  </si>
  <si>
    <t>COMPROMETIDO</t>
  </si>
  <si>
    <t>PROJETADO</t>
  </si>
  <si>
    <t>INCORPORAÇÃO</t>
  </si>
  <si>
    <t>TAXAS ADMINISTRAÇÃO DE OBRA (BDI 10%)</t>
  </si>
  <si>
    <t>CORREÇÕES FINANCEIRAS</t>
  </si>
  <si>
    <t>GESTÃO FINANCEIRA</t>
  </si>
  <si>
    <t>3.01</t>
  </si>
  <si>
    <t>3.02</t>
  </si>
  <si>
    <t>3.03</t>
  </si>
  <si>
    <t>1.01</t>
  </si>
  <si>
    <t>1.02</t>
  </si>
  <si>
    <t>1.03</t>
  </si>
  <si>
    <t>1.04</t>
  </si>
  <si>
    <t>1.05</t>
  </si>
  <si>
    <t>2.01</t>
  </si>
  <si>
    <t xml:space="preserve"> </t>
  </si>
  <si>
    <t>ESTOQUE</t>
  </si>
  <si>
    <t>FINANCIAMENTO</t>
  </si>
  <si>
    <t>1.06</t>
  </si>
  <si>
    <t>1.07</t>
  </si>
  <si>
    <t>1.08</t>
  </si>
  <si>
    <t>1.09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</si>
  <si>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</si>
  <si>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</si>
  <si>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</si>
  <si>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</si>
  <si>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</si>
  <si>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</si>
  <si>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</si>
  <si>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</si>
  <si>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</si>
  <si>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</si>
  <si>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</si>
  <si>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</si>
  <si>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</si>
  <si>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</si>
  <si>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</si>
  <si>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</si>
  <si>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</si>
  <si>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</si>
  <si>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</si>
  <si>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</si>
  <si>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Valor Mensal</t>
  </si>
  <si>
    <t>Valor Acumulado</t>
  </si>
  <si>
    <t>Valor</t>
  </si>
  <si>
    <t>CUSTO DIRETO</t>
  </si>
  <si>
    <t>CUSTO INDIRETO</t>
  </si>
  <si>
    <t>CUSTO INCORPORAÇÃO</t>
  </si>
  <si>
    <t>DATA</t>
  </si>
  <si>
    <t>Tubulações Elétricas E Caixinhas</t>
  </si>
  <si>
    <t>Contrapiso "Farofa" - 1º Pav. Tipo</t>
  </si>
  <si>
    <t>Contrapiso "Farofa" - 2º Pav. Tipo</t>
  </si>
  <si>
    <t>ESTRUTURA 6°</t>
  </si>
  <si>
    <t>ESTRUTURA 8°</t>
  </si>
  <si>
    <t>ESTRUTURA 7°</t>
  </si>
  <si>
    <t>MES RECEBIMENTO</t>
  </si>
  <si>
    <t>VALOR RECEBIMENTO</t>
  </si>
  <si>
    <t>servicodata</t>
  </si>
  <si>
    <t>qtd</t>
  </si>
  <si>
    <t>Servicoexec</t>
  </si>
  <si>
    <t>valorexecorc</t>
  </si>
  <si>
    <t>valorgastoexec</t>
  </si>
  <si>
    <t>Contrapiso "Farofa" - 3º Pav. Tipo</t>
  </si>
  <si>
    <t>ESTRUTURA 9°</t>
  </si>
  <si>
    <t>ESTRUTURA 10°</t>
  </si>
  <si>
    <t>HIDRALICA E SANITARIO 1° PAVIMENTO</t>
  </si>
  <si>
    <t>HIDRALICA E SANITARIO 2° PAVIMENTO</t>
  </si>
  <si>
    <t>ESTRUTURA 12°</t>
  </si>
  <si>
    <t>ESTRUTURA 11°</t>
  </si>
  <si>
    <t>HIDRALICA E SANITARIO 3° PAVIMENTO</t>
  </si>
  <si>
    <t>HIDRALICA E SANITARIO 4° PAVIMENTO</t>
  </si>
  <si>
    <t>PAREDE DE GESSO 1°</t>
  </si>
  <si>
    <t>PAREDE DE GESSO 2°</t>
  </si>
  <si>
    <t>PAREDE DE GESSO 3°</t>
  </si>
  <si>
    <t>PAREDE DE GESSO 4°</t>
  </si>
  <si>
    <t>HIDRALICA E SANITARIO 5° PAVIMENTO</t>
  </si>
  <si>
    <t>HIDRALICA E SANITARIO 6° PAVIMENTO</t>
  </si>
  <si>
    <t>ESTRUTURA 13°</t>
  </si>
  <si>
    <t>PAREDE DE GESSO 5°</t>
  </si>
  <si>
    <t>PAREDE DE GESSO 6°</t>
  </si>
  <si>
    <t>Contrapiso "Farofa" - 4º Pav. Tipo</t>
  </si>
  <si>
    <t>Contrapiso "Farofa" - 5º Pav. Tipo</t>
  </si>
  <si>
    <t>PAREDE DE GESSO 7°</t>
  </si>
  <si>
    <t>PAREDE DE GESSO 8°</t>
  </si>
  <si>
    <t>PAREDE DE GESSO 9°</t>
  </si>
  <si>
    <t>PAREDE DE GESSO 10°</t>
  </si>
  <si>
    <t>PAREDE DE GESSO 11°</t>
  </si>
  <si>
    <t>ESTRUTURA 14°</t>
  </si>
  <si>
    <t>GESSO CORRIDO 9°</t>
  </si>
  <si>
    <t>HIDRALICA E SANITARIO 7° PAVIMENTO</t>
  </si>
  <si>
    <t>HIDRALICA E SANITARIO 8° PAVIMENTO</t>
  </si>
  <si>
    <t>HIDRALICA E SANITARIO 9° PAVIMENTO</t>
  </si>
  <si>
    <t>HIDRALICA E SANITARIO 10° PAVIMENTO</t>
  </si>
  <si>
    <t>PORCELANATO 1° PAV</t>
  </si>
  <si>
    <t>PORCELANATO 2° PAV</t>
  </si>
  <si>
    <t>FORRO DE GESSO EM PLACA 1° PAV</t>
  </si>
  <si>
    <t>FORRO DE GESSO EM PLACA 2° PAV</t>
  </si>
  <si>
    <t>PAREDE DE GESSO 14° PAV</t>
  </si>
  <si>
    <t>PAREDE DE GESSO 15° PAV</t>
  </si>
  <si>
    <t>IMPERMEABILIZAÇÃO 1° PAV</t>
  </si>
  <si>
    <t>IMPERMEABILIZAÇÃO 2° PAV</t>
  </si>
  <si>
    <t>IMPERMEABILIZAÇÃO 3° PAV</t>
  </si>
  <si>
    <t>SELADORA + MASSA 1 ° PAV</t>
  </si>
  <si>
    <t>SELADORA + MASSA 2 ° PAV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</si>
</sst>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_);[Red]\(&quot;R$&quot;#,##0.00\)"/>
    <numFmt numFmtId="165" formatCode="_(&quot;R$&quot;* #,##0_);_(&quot;R$&quot;* \(#,##0\);_(&quot;R$&quot;* &quot;-&quot;_);_(@_)"/>
    <numFmt numFmtId="166" formatCode="_(* #,##0_);_(* \(#,##0\);_(* &quot;-&quot;_);_(@_)"/>
    <numFmt numFmtId="167" formatCode="_(&quot;R$&quot;* #,##0.00_);_(&quot;R$&quot;* \(#,##0.00\);_(&quot;R$&quot;* &quot;-&quot;??_);_(@_)"/>
    <numFmt numFmtId="168" formatCode="_(* #,##0.00_);_(* \(#,##0.00\);_(* &quot;-&quot;??_);_(@_)"/>
    <numFmt numFmtId="169" formatCode="[$-416]mmmm\-yy;@"/>
    <numFmt numFmtId="170" formatCode="[$-416]mmm\-yy;@"/>
    <numFmt numFmtId="171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ptos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16">
    <xf numFmtId="0" fontId="0" fillId="0" borderId="0"/>
    <xf numFmtId="167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7" fontId="0" fillId="0" borderId="0" xfId="1" applyFont="1"/>
    <xf numFmtId="167" fontId="0" fillId="0" borderId="0" xfId="0" applyNumberFormat="1"/>
    <xf numFmtId="17" fontId="0" fillId="0" borderId="0" xfId="0" applyNumberFormat="1"/>
    <xf numFmtId="169" fontId="0" fillId="0" borderId="0" xfId="0" applyNumberFormat="1"/>
    <xf numFmtId="167" fontId="3" fillId="0" borderId="0" xfId="1" applyFont="1" applyFill="1" applyAlignment="1">
      <alignment horizontal="center" vertical="center"/>
    </xf>
    <xf numFmtId="170" fontId="0" fillId="0" borderId="0" xfId="1" applyNumberFormat="1" applyFont="1"/>
    <xf numFmtId="171" fontId="0" fillId="0" borderId="0" xfId="0" applyNumberFormat="1"/>
    <xf numFmtId="167" fontId="0" fillId="0" borderId="1" xfId="0" applyNumberFormat="1" applyBorder="1"/>
    <xf numFmtId="164" fontId="3" fillId="0" borderId="0" xfId="1" applyNumberFormat="1" applyFont="1" applyFill="1" applyAlignment="1">
      <alignment horizontal="center" vertical="center"/>
    </xf>
    <xf numFmtId="164" fontId="0" fillId="0" borderId="0" xfId="0" applyNumberFormat="1"/>
    <xf numFmtId="164" fontId="0" fillId="0" borderId="0" xfId="1" applyNumberFormat="1" applyFont="1"/>
    <xf numFmtId="44" fontId="0" fillId="0" borderId="0" xfId="0" applyNumberFormat="1"/>
  </cellXfs>
  <cellStyles count="16">
    <cellStyle name="Comma" xfId="6" xr:uid="{159D0140-123F-46D6-AE51-0D51B924CA0F}"/>
    <cellStyle name="Comma [0]" xfId="7" xr:uid="{D829F9A8-DE80-4FFE-821D-64B5E3DC6A3F}"/>
    <cellStyle name="Comma [0] 2" xfId="11" xr:uid="{90AE9802-7DA5-423B-B4AE-8D71DA8F6847}"/>
    <cellStyle name="Comma [0] 3" xfId="15" xr:uid="{4D69A9FB-1D2E-45F4-A2C9-5242FB71E12F}"/>
    <cellStyle name="Comma 2" xfId="10" xr:uid="{4F94EA58-4553-4E9B-AF39-58E04C88891D}"/>
    <cellStyle name="Comma 3" xfId="14" xr:uid="{253522A9-9317-4F04-938D-5E6DC47AE089}"/>
    <cellStyle name="Currency" xfId="4" xr:uid="{F5A6EB87-1A07-4B53-A877-7F654FA049AA}"/>
    <cellStyle name="Currency [0]" xfId="5" xr:uid="{41D18920-42AE-4058-B126-A40FCC02AC17}"/>
    <cellStyle name="Currency [0] 2" xfId="9" xr:uid="{9AF2B2F7-3231-469B-968C-99BF6932D232}"/>
    <cellStyle name="Currency [0] 3" xfId="13" xr:uid="{32AD95CA-3ACA-4B03-A304-DD4608D479CD}"/>
    <cellStyle name="Currency 2" xfId="8" xr:uid="{7BB49C72-B6FC-410F-9C51-4E6F0193CCCF}"/>
    <cellStyle name="Currency 3" xfId="12" xr:uid="{9F207BF7-F182-44AC-9E50-EB64682B4DEA}"/>
    <cellStyle name="Moeda" xfId="1" builtinId="4"/>
    <cellStyle name="Normal" xfId="0" builtinId="0"/>
    <cellStyle name="Normal 2" xfId="2" xr:uid="{789A0681-E715-41FD-BD62-BBDAD81D28D4}"/>
    <cellStyle name="Percent" xfId="3" xr:uid="{5CD7643D-2EEB-4C69-A34A-1F0F5C7A263D}"/>
  </cellStyles>
  <dxfs count="68"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LATORIO%20DE%20CONTROLE%20FINANCEIRO%20-%2022.05%20-%20R1.xlsm" TargetMode="External"/><Relationship Id="rId2" Type="http://schemas.openxmlformats.org/officeDocument/2006/relationships/externalLinkPath" Target="file:///C:\Users\rssla\Desktop\SPE%20JARDIM%20LUZ\01.%20Relatorio%20Obra%20Ramon%20Gerenciamento\RELATORIO%20DE%20CONTROLE%20FINANCEIRO%20-%2022.05%20-%20R1.xlsm" TargetMode="External"/><Relationship Id="rId1" Type="http://schemas.openxmlformats.org/officeDocument/2006/relationships/externalLinkPath" Target="/Users/rssla/Desktop/SPE%20JARDIM%20LUZ/01.%20Relatorio%20Obra%20Ramon%20Gerenciamento/RELATORIO%20DE%20CONTROLE%20FINANCEIRO%20-%2022.05%20-%20R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S"/>
      <sheetName val="SIENGE"/>
      <sheetName val="ANALISE DE CONTRATO"/>
      <sheetName val="MCC - INCORPORAÇÃO"/>
      <sheetName val="Detalhes2"/>
      <sheetName val="Detalhes4"/>
      <sheetName val="NOTAS RETROATIVAS"/>
      <sheetName val="MCC - OBRA"/>
      <sheetName val="Detalhes1"/>
      <sheetName val="Detalhes3"/>
      <sheetName val="RESUMO"/>
      <sheetName val="ESTOQUE"/>
      <sheetName val="PB"/>
      <sheetName val="ANALISE DE ESTRUTURA"/>
      <sheetName val="Planilha1"/>
    </sheetNames>
    <sheetDataSet>
      <sheetData sheetId="0"/>
      <sheetData sheetId="1"/>
      <sheetData sheetId="2"/>
      <sheetData sheetId="3">
        <row r="7">
          <cell r="D7" t="str">
            <v>INCORPORAÇÃO</v>
          </cell>
          <cell r="I7" t="str">
            <v>01 - INCORPORAÇÃO</v>
          </cell>
          <cell r="J7" t="str">
            <v>1 - CUSTOS DE INCORPORAÇÃO</v>
          </cell>
          <cell r="K7" t="str">
            <v>1 - CUSTOS DE INCORPORAÇÃO1</v>
          </cell>
          <cell r="L7">
            <v>6370000</v>
          </cell>
          <cell r="N7">
            <v>4458256.629999998</v>
          </cell>
          <cell r="O7">
            <v>96431.510000000009</v>
          </cell>
          <cell r="P7">
            <v>71973.159999999974</v>
          </cell>
          <cell r="Q7">
            <v>0</v>
          </cell>
          <cell r="R7">
            <v>4626661.299999998</v>
          </cell>
          <cell r="T7">
            <v>3113420.4900000007</v>
          </cell>
          <cell r="U7">
            <v>7740081.7899999991</v>
          </cell>
          <cell r="V7">
            <v>-1370081.7899999991</v>
          </cell>
        </row>
        <row r="8">
          <cell r="D8" t="str">
            <v xml:space="preserve">REGISTROS, LICENÇAS E DESENVOLVIMENTO	</v>
          </cell>
          <cell r="I8" t="str">
            <v xml:space="preserve">01.001 - REGISTROS, LICENÇAS E DESENVOLVIMENTO	</v>
          </cell>
          <cell r="J8" t="str">
            <v>1 - CUSTOS DE INCORPORAÇÃO</v>
          </cell>
          <cell r="K8" t="str">
            <v>1 - CUSTOS DE INCORPORAÇÃO1.001</v>
          </cell>
          <cell r="L8">
            <v>6370000</v>
          </cell>
          <cell r="N8">
            <v>4458256.629999998</v>
          </cell>
          <cell r="O8">
            <v>96431.510000000009</v>
          </cell>
          <cell r="P8">
            <v>71973.159999999974</v>
          </cell>
          <cell r="Q8">
            <v>0</v>
          </cell>
          <cell r="R8">
            <v>4626661.299999998</v>
          </cell>
          <cell r="T8">
            <v>3113420.4900000007</v>
          </cell>
          <cell r="U8">
            <v>7740081.7899999991</v>
          </cell>
          <cell r="V8">
            <v>-1370081.7899999991</v>
          </cell>
        </row>
        <row r="9">
          <cell r="D9" t="str">
            <v>REGISTROS, LICENÇAS E DESENVOLVIMENTO</v>
          </cell>
          <cell r="I9" t="str">
            <v>01.001.001 - REGISTROS, LICENÇAS E DESENVOLVIMENTO</v>
          </cell>
          <cell r="J9" t="str">
            <v>1 - CUSTOS DE INCORPORAÇÃO</v>
          </cell>
          <cell r="K9" t="str">
            <v>1 - CUSTOS DE INCORPORAÇÃO1.001.001</v>
          </cell>
          <cell r="L9">
            <v>630000</v>
          </cell>
          <cell r="N9">
            <v>422736.61</v>
          </cell>
          <cell r="O9">
            <v>0</v>
          </cell>
          <cell r="P9">
            <v>0</v>
          </cell>
          <cell r="Q9">
            <v>0</v>
          </cell>
          <cell r="R9">
            <v>422736.61</v>
          </cell>
          <cell r="T9">
            <v>0</v>
          </cell>
          <cell r="U9">
            <v>422736.61</v>
          </cell>
          <cell r="V9">
            <v>207263.39</v>
          </cell>
        </row>
        <row r="10">
          <cell r="D10" t="str">
            <v>Registros de Incorporação e Aprovações</v>
          </cell>
          <cell r="E10">
            <v>1</v>
          </cell>
          <cell r="F10" t="str">
            <v>vb</v>
          </cell>
          <cell r="G10">
            <v>30000</v>
          </cell>
          <cell r="H10">
            <v>0</v>
          </cell>
          <cell r="I10" t="str">
            <v>01.001.001.001 - Registros de Incorporação e Aprovações</v>
          </cell>
          <cell r="J10" t="str">
            <v>1 - CUSTOS DE INCORPORAÇÃO</v>
          </cell>
          <cell r="K10" t="str">
            <v>1 - CUSTOS DE INCORPORAÇÃO1.001.001.001</v>
          </cell>
          <cell r="L10">
            <v>30000</v>
          </cell>
          <cell r="N10">
            <v>34768.979999999996</v>
          </cell>
          <cell r="O10">
            <v>0</v>
          </cell>
          <cell r="P10">
            <v>0</v>
          </cell>
          <cell r="Q10">
            <v>0</v>
          </cell>
          <cell r="R10">
            <v>34768.979999999996</v>
          </cell>
          <cell r="T10">
            <v>0</v>
          </cell>
          <cell r="U10">
            <v>34768.979999999996</v>
          </cell>
          <cell r="V10">
            <v>-4768.9799999999959</v>
          </cell>
        </row>
        <row r="11">
          <cell r="D11" t="str">
            <v>Taxas e Aprovações Municipais</v>
          </cell>
          <cell r="E11">
            <v>1</v>
          </cell>
          <cell r="F11" t="str">
            <v>vb</v>
          </cell>
          <cell r="G11">
            <v>350000</v>
          </cell>
          <cell r="H11">
            <v>0</v>
          </cell>
          <cell r="I11" t="str">
            <v>01.001.001.002 - Taxas e Aprovações Municipais</v>
          </cell>
          <cell r="J11" t="str">
            <v>1 - CUSTOS DE INCORPORAÇÃO</v>
          </cell>
          <cell r="K11" t="str">
            <v>1 - CUSTOS DE INCORPORAÇÃO1.001.001.002</v>
          </cell>
          <cell r="L11">
            <v>350000</v>
          </cell>
          <cell r="N11">
            <v>46980.520000000011</v>
          </cell>
          <cell r="O11">
            <v>0</v>
          </cell>
          <cell r="P11">
            <v>0</v>
          </cell>
          <cell r="Q11">
            <v>0</v>
          </cell>
          <cell r="R11">
            <v>46980.520000000011</v>
          </cell>
          <cell r="T11">
            <v>0</v>
          </cell>
          <cell r="U11">
            <v>46980.520000000011</v>
          </cell>
          <cell r="V11">
            <v>303019.48</v>
          </cell>
        </row>
        <row r="12">
          <cell r="D12" t="str">
            <v>Licença Onerosa</v>
          </cell>
          <cell r="E12">
            <v>1</v>
          </cell>
          <cell r="F12" t="str">
            <v>vb</v>
          </cell>
          <cell r="G12">
            <v>250000</v>
          </cell>
          <cell r="H12">
            <v>0</v>
          </cell>
          <cell r="I12" t="str">
            <v>01.001.001.003 - Licença Onerosa</v>
          </cell>
          <cell r="J12" t="str">
            <v>1 - CUSTOS DE INCORPORAÇÃO</v>
          </cell>
          <cell r="K12" t="str">
            <v>1 - CUSTOS DE INCORPORAÇÃO1.001.001.003</v>
          </cell>
          <cell r="L12">
            <v>250000</v>
          </cell>
          <cell r="N12">
            <v>340987.11</v>
          </cell>
          <cell r="O12">
            <v>0</v>
          </cell>
          <cell r="P12">
            <v>0</v>
          </cell>
          <cell r="Q12">
            <v>0</v>
          </cell>
          <cell r="R12">
            <v>340987.11</v>
          </cell>
          <cell r="T12">
            <v>0</v>
          </cell>
          <cell r="U12">
            <v>340987.11</v>
          </cell>
          <cell r="V12">
            <v>-90987.109999999986</v>
          </cell>
        </row>
        <row r="13">
          <cell r="D13" t="str">
            <v>ACESSORIAS</v>
          </cell>
          <cell r="I13" t="str">
            <v>01.001.002 - ACESSORIAS</v>
          </cell>
          <cell r="J13" t="str">
            <v>1 - CUSTOS DE INCORPORAÇÃO</v>
          </cell>
          <cell r="K13" t="str">
            <v>1 - CUSTOS DE INCORPORAÇÃO1.001.002</v>
          </cell>
          <cell r="L13">
            <v>134000</v>
          </cell>
          <cell r="N13">
            <v>121490.31999999999</v>
          </cell>
          <cell r="O13">
            <v>0</v>
          </cell>
          <cell r="P13">
            <v>8491.16</v>
          </cell>
          <cell r="Q13">
            <v>0</v>
          </cell>
          <cell r="R13">
            <v>129981.48</v>
          </cell>
          <cell r="T13">
            <v>51708.52</v>
          </cell>
          <cell r="U13">
            <v>181690</v>
          </cell>
          <cell r="V13">
            <v>-47690</v>
          </cell>
        </row>
        <row r="14">
          <cell r="D14" t="str">
            <v>Acessoria Contábil</v>
          </cell>
          <cell r="E14">
            <v>40</v>
          </cell>
          <cell r="F14" t="str">
            <v>mes</v>
          </cell>
          <cell r="G14">
            <v>100000</v>
          </cell>
          <cell r="H14">
            <v>0</v>
          </cell>
          <cell r="I14" t="str">
            <v>01.001.002.001 - Acessoria Contábil</v>
          </cell>
          <cell r="J14" t="str">
            <v>1 - CUSTOS DE INCORPORAÇÃO</v>
          </cell>
          <cell r="K14" t="str">
            <v>1 - CUSTOS DE INCORPORAÇÃO1.001.002.001</v>
          </cell>
          <cell r="L14">
            <v>100000</v>
          </cell>
          <cell r="N14">
            <v>107809.84</v>
          </cell>
          <cell r="O14">
            <v>0</v>
          </cell>
          <cell r="P14">
            <v>8491.16</v>
          </cell>
          <cell r="Q14">
            <v>0</v>
          </cell>
          <cell r="R14">
            <v>116301</v>
          </cell>
          <cell r="T14">
            <v>31389</v>
          </cell>
          <cell r="U14">
            <v>147690</v>
          </cell>
          <cell r="V14">
            <v>-47690</v>
          </cell>
        </row>
        <row r="15">
          <cell r="D15" t="str">
            <v>Acessoria Jurídica</v>
          </cell>
          <cell r="E15">
            <v>1</v>
          </cell>
          <cell r="F15" t="str">
            <v>vb</v>
          </cell>
          <cell r="G15">
            <v>30000</v>
          </cell>
          <cell r="H15">
            <v>0</v>
          </cell>
          <cell r="I15" t="str">
            <v>01.001.002.002 - Acessoria Jurídica</v>
          </cell>
          <cell r="J15" t="str">
            <v>1 - CUSTOS DE INCORPORAÇÃO</v>
          </cell>
          <cell r="K15" t="str">
            <v>1 - CUSTOS DE INCORPORAÇÃO1.001.002.002</v>
          </cell>
          <cell r="L15">
            <v>30000</v>
          </cell>
          <cell r="N15">
            <v>10500</v>
          </cell>
          <cell r="O15">
            <v>0</v>
          </cell>
          <cell r="P15">
            <v>0</v>
          </cell>
          <cell r="Q15">
            <v>0</v>
          </cell>
          <cell r="R15">
            <v>10500</v>
          </cell>
          <cell r="T15">
            <v>19500</v>
          </cell>
          <cell r="U15">
            <v>30000</v>
          </cell>
          <cell r="V15">
            <v>0</v>
          </cell>
        </row>
        <row r="16">
          <cell r="D16" t="str">
            <v>Despachantes</v>
          </cell>
          <cell r="E16">
            <v>1</v>
          </cell>
          <cell r="F16" t="str">
            <v>vb</v>
          </cell>
          <cell r="G16">
            <v>4000</v>
          </cell>
          <cell r="H16">
            <v>0</v>
          </cell>
          <cell r="I16" t="str">
            <v>01.001.002.003 - Despachantes</v>
          </cell>
          <cell r="J16" t="str">
            <v>1 - CUSTOS DE INCORPORAÇÃO</v>
          </cell>
          <cell r="K16" t="str">
            <v>1 - CUSTOS DE INCORPORAÇÃO1.001.002.003</v>
          </cell>
          <cell r="L16">
            <v>4000</v>
          </cell>
          <cell r="N16">
            <v>3180.48</v>
          </cell>
          <cell r="O16">
            <v>0</v>
          </cell>
          <cell r="P16">
            <v>0</v>
          </cell>
          <cell r="Q16">
            <v>0</v>
          </cell>
          <cell r="R16">
            <v>3180.48</v>
          </cell>
          <cell r="T16">
            <v>819.52</v>
          </cell>
          <cell r="U16">
            <v>4000</v>
          </cell>
          <cell r="V16">
            <v>0</v>
          </cell>
        </row>
        <row r="17">
          <cell r="D17" t="str">
            <v>TERRENO</v>
          </cell>
          <cell r="I17" t="str">
            <v>01.001.003 - TERRENO</v>
          </cell>
          <cell r="J17" t="str">
            <v>1 - CUSTOS DE INCORPORAÇÃO</v>
          </cell>
          <cell r="K17" t="str">
            <v>1 - CUSTOS DE INCORPORAÇÃO1.001.003</v>
          </cell>
          <cell r="L17">
            <v>150000</v>
          </cell>
          <cell r="N17">
            <v>245541.83000000002</v>
          </cell>
          <cell r="O17">
            <v>0</v>
          </cell>
          <cell r="P17">
            <v>0</v>
          </cell>
          <cell r="Q17">
            <v>0</v>
          </cell>
          <cell r="R17">
            <v>245541.83000000002</v>
          </cell>
          <cell r="T17">
            <v>0</v>
          </cell>
          <cell r="U17">
            <v>245541.83000000002</v>
          </cell>
          <cell r="V17">
            <v>-95541.830000000016</v>
          </cell>
        </row>
        <row r="18">
          <cell r="D18" t="str">
            <v>Aquisição do Terreno (permuta 100%)</v>
          </cell>
          <cell r="E18">
            <v>1</v>
          </cell>
          <cell r="F18" t="str">
            <v>vb</v>
          </cell>
          <cell r="G18">
            <v>0</v>
          </cell>
          <cell r="H18">
            <v>0</v>
          </cell>
          <cell r="I18" t="str">
            <v>01.001.003.001 - Aquisição do Terreno (permuta 100%)</v>
          </cell>
          <cell r="J18" t="str">
            <v>1 - CUSTOS DE INCORPORAÇÃO</v>
          </cell>
          <cell r="K18" t="str">
            <v>1 - CUSTOS DE INCORPORAÇÃO1.001.003.001</v>
          </cell>
          <cell r="L18">
            <v>0</v>
          </cell>
          <cell r="N18">
            <v>23287.5</v>
          </cell>
          <cell r="O18">
            <v>0</v>
          </cell>
          <cell r="P18">
            <v>0</v>
          </cell>
          <cell r="Q18">
            <v>0</v>
          </cell>
          <cell r="R18">
            <v>23287.5</v>
          </cell>
          <cell r="T18">
            <v>0</v>
          </cell>
          <cell r="U18">
            <v>23287.5</v>
          </cell>
          <cell r="V18">
            <v>-23287.5</v>
          </cell>
        </row>
        <row r="19">
          <cell r="D19" t="str">
            <v>Taxas, Escrituras, ITBI, IPTU</v>
          </cell>
          <cell r="E19">
            <v>1</v>
          </cell>
          <cell r="F19" t="str">
            <v>vb</v>
          </cell>
          <cell r="G19">
            <v>150000</v>
          </cell>
          <cell r="H19">
            <v>0</v>
          </cell>
          <cell r="I19" t="str">
            <v>01.001.003.002 - Taxas, Escrituras, ITBI, IPTU</v>
          </cell>
          <cell r="J19" t="str">
            <v>1 - CUSTOS DE INCORPORAÇÃO</v>
          </cell>
          <cell r="K19" t="str">
            <v>1 - CUSTOS DE INCORPORAÇÃO1.001.003.002</v>
          </cell>
          <cell r="L19">
            <v>150000</v>
          </cell>
          <cell r="N19">
            <v>222254.33000000002</v>
          </cell>
          <cell r="O19">
            <v>0</v>
          </cell>
          <cell r="P19">
            <v>0</v>
          </cell>
          <cell r="Q19">
            <v>0</v>
          </cell>
          <cell r="R19">
            <v>222254.33000000002</v>
          </cell>
          <cell r="T19">
            <v>0</v>
          </cell>
          <cell r="U19">
            <v>222254.33000000002</v>
          </cell>
          <cell r="V19">
            <v>-72254.330000000016</v>
          </cell>
        </row>
        <row r="20">
          <cell r="D20" t="str">
            <v>VENDAS</v>
          </cell>
          <cell r="I20" t="str">
            <v>01.001.004 - VENDAS</v>
          </cell>
          <cell r="J20" t="str">
            <v>1 - CUSTOS DE INCORPORAÇÃO</v>
          </cell>
          <cell r="K20" t="str">
            <v>1 - CUSTOS DE INCORPORAÇÃO1.001.004</v>
          </cell>
          <cell r="L20">
            <v>3500000</v>
          </cell>
          <cell r="N20">
            <v>1736627.0399999998</v>
          </cell>
          <cell r="O20">
            <v>72000</v>
          </cell>
          <cell r="P20">
            <v>1332.2</v>
          </cell>
          <cell r="Q20">
            <v>0</v>
          </cell>
          <cell r="R20">
            <v>1809959.2399999998</v>
          </cell>
          <cell r="T20">
            <v>2060309.6600000001</v>
          </cell>
          <cell r="U20">
            <v>3870268.9</v>
          </cell>
          <cell r="V20">
            <v>-370268.89999999991</v>
          </cell>
        </row>
        <row r="21">
          <cell r="D21" t="str">
            <v>Publicidade e Propaganda/Marketing</v>
          </cell>
          <cell r="E21">
            <v>1</v>
          </cell>
          <cell r="F21" t="str">
            <v>vb</v>
          </cell>
          <cell r="G21">
            <v>300000</v>
          </cell>
          <cell r="H21">
            <v>0</v>
          </cell>
          <cell r="I21" t="str">
            <v>01.001.004.001 - Publicidade e Propaganda/Marketing</v>
          </cell>
          <cell r="J21" t="str">
            <v>1 - CUSTOS DE INCORPORAÇÃO</v>
          </cell>
          <cell r="K21" t="str">
            <v>1 - CUSTOS DE INCORPORAÇÃO1.001.004.001</v>
          </cell>
          <cell r="L21">
            <v>300000</v>
          </cell>
          <cell r="N21">
            <v>507558.33</v>
          </cell>
          <cell r="O21">
            <v>0</v>
          </cell>
          <cell r="P21">
            <v>0</v>
          </cell>
          <cell r="Q21">
            <v>0</v>
          </cell>
          <cell r="R21">
            <v>507558.33</v>
          </cell>
          <cell r="T21">
            <v>93020.56</v>
          </cell>
          <cell r="U21">
            <v>600578.89</v>
          </cell>
          <cell r="V21">
            <v>-300578.89</v>
          </cell>
        </row>
        <row r="22">
          <cell r="D22" t="str">
            <v>Stand de Vendas + Decorado + Mobilia</v>
          </cell>
          <cell r="E22">
            <v>1</v>
          </cell>
          <cell r="F22" t="str">
            <v>vb</v>
          </cell>
          <cell r="G22">
            <v>300000</v>
          </cell>
          <cell r="H22">
            <v>0</v>
          </cell>
          <cell r="I22" t="str">
            <v>01.001.004.002 - Stand de Vendas + Decorado + Mobilia</v>
          </cell>
          <cell r="J22" t="str">
            <v>1 - CUSTOS DE INCORPORAÇÃO</v>
          </cell>
          <cell r="K22" t="str">
            <v>1 - CUSTOS DE INCORPORAÇÃO1.001.004.002</v>
          </cell>
          <cell r="L22">
            <v>300000</v>
          </cell>
          <cell r="N22">
            <v>549031.29</v>
          </cell>
          <cell r="O22">
            <v>53500</v>
          </cell>
          <cell r="P22">
            <v>1332.2</v>
          </cell>
          <cell r="Q22">
            <v>0</v>
          </cell>
          <cell r="R22">
            <v>603863.49</v>
          </cell>
          <cell r="T22">
            <v>0</v>
          </cell>
          <cell r="U22">
            <v>603863.49</v>
          </cell>
          <cell r="V22">
            <v>-303863.49</v>
          </cell>
        </row>
        <row r="23">
          <cell r="D23" t="str">
            <v>Comissão de Venda</v>
          </cell>
          <cell r="E23">
            <v>1</v>
          </cell>
          <cell r="F23" t="str">
            <v>vb</v>
          </cell>
          <cell r="G23">
            <v>1600000</v>
          </cell>
          <cell r="H23">
            <v>0</v>
          </cell>
          <cell r="I23" t="str">
            <v>01.001.004.003 - Comissão de Venda</v>
          </cell>
          <cell r="J23" t="str">
            <v>1 - CUSTOS DE INCORPORAÇÃO</v>
          </cell>
          <cell r="K23" t="str">
            <v>1 - CUSTOS DE INCORPORAÇÃO1.001.004.003</v>
          </cell>
          <cell r="L23">
            <v>1600000</v>
          </cell>
          <cell r="N23">
            <v>287019.19</v>
          </cell>
          <cell r="O23">
            <v>18500</v>
          </cell>
          <cell r="P23">
            <v>0</v>
          </cell>
          <cell r="Q23">
            <v>0</v>
          </cell>
          <cell r="R23">
            <v>305519.19</v>
          </cell>
          <cell r="T23">
            <v>535652.06000000006</v>
          </cell>
          <cell r="U23">
            <v>841171.25</v>
          </cell>
          <cell r="V23">
            <v>758828.75</v>
          </cell>
        </row>
        <row r="24">
          <cell r="D24" t="str">
            <v>Impostos Sobre venda (Taxas/RET)</v>
          </cell>
          <cell r="E24">
            <v>1</v>
          </cell>
          <cell r="F24" t="str">
            <v>vb</v>
          </cell>
          <cell r="G24">
            <v>1300000</v>
          </cell>
          <cell r="H24">
            <v>0</v>
          </cell>
          <cell r="I24" t="str">
            <v>01.001.004.004 - Impostos Sobre venda (Taxas/RET)</v>
          </cell>
          <cell r="J24" t="str">
            <v>1 - CUSTOS DE INCORPORAÇÃO</v>
          </cell>
          <cell r="K24" t="str">
            <v>1 - CUSTOS DE INCORPORAÇÃO1.001.004.004</v>
          </cell>
          <cell r="L24">
            <v>1300000</v>
          </cell>
          <cell r="N24">
            <v>281398.11</v>
          </cell>
          <cell r="O24">
            <v>0</v>
          </cell>
          <cell r="P24">
            <v>0</v>
          </cell>
          <cell r="Q24">
            <v>0</v>
          </cell>
          <cell r="R24">
            <v>281398.11</v>
          </cell>
          <cell r="T24">
            <v>1018601.89</v>
          </cell>
          <cell r="U24">
            <v>1300000</v>
          </cell>
          <cell r="V24">
            <v>0</v>
          </cell>
        </row>
        <row r="25">
          <cell r="D25" t="str">
            <v>ITBI pago pela construtora como subsídio à aquisição do imóvel pelo cliente</v>
          </cell>
          <cell r="E25">
            <v>1</v>
          </cell>
          <cell r="F25" t="str">
            <v>vb</v>
          </cell>
          <cell r="G25">
            <v>0</v>
          </cell>
          <cell r="H25">
            <v>0</v>
          </cell>
          <cell r="I25" t="str">
            <v>01.001.004.005 - ITBI pago pela construtora como subsídio à aquisição do imóvel pelo cliente</v>
          </cell>
          <cell r="J25" t="str">
            <v>1 - CUSTOS DE INCORPORAÇÃO</v>
          </cell>
          <cell r="K25" t="str">
            <v>1 - CUSTOS DE INCORPORAÇÃO1.001.004.005</v>
          </cell>
          <cell r="L25">
            <v>0</v>
          </cell>
          <cell r="N25">
            <v>111620.11999999997</v>
          </cell>
          <cell r="O25">
            <v>0</v>
          </cell>
          <cell r="P25">
            <v>0</v>
          </cell>
          <cell r="Q25">
            <v>0</v>
          </cell>
          <cell r="R25">
            <v>111620.11999999997</v>
          </cell>
          <cell r="T25">
            <v>413035.15</v>
          </cell>
          <cell r="U25">
            <v>524655.27</v>
          </cell>
          <cell r="V25">
            <v>-524655.27</v>
          </cell>
        </row>
        <row r="26">
          <cell r="D26" t="str">
            <v>CARTEIRA E RECEBÍVEIS</v>
          </cell>
          <cell r="I26" t="str">
            <v>01.001.005 - CARTEIRA E RECEBÍVEIS</v>
          </cell>
          <cell r="J26" t="str">
            <v>1 - CUSTOS DE INCORPORAÇÃO</v>
          </cell>
          <cell r="K26" t="str">
            <v>1 - CUSTOS DE INCORPORAÇÃO1.001.005</v>
          </cell>
          <cell r="L26">
            <v>627000</v>
          </cell>
          <cell r="N26">
            <v>251799.14000000004</v>
          </cell>
          <cell r="O26">
            <v>24431.510000000002</v>
          </cell>
          <cell r="P26">
            <v>62149.799999999981</v>
          </cell>
          <cell r="Q26">
            <v>0</v>
          </cell>
          <cell r="R26">
            <v>338380.45</v>
          </cell>
          <cell r="T26">
            <v>382100.2</v>
          </cell>
          <cell r="U26">
            <v>720480.65</v>
          </cell>
          <cell r="V26">
            <v>-93480.650000000023</v>
          </cell>
        </row>
        <row r="27">
          <cell r="D27" t="str">
            <v>Administração de Carteira/Recebíveis 2%</v>
          </cell>
          <cell r="E27">
            <v>1</v>
          </cell>
          <cell r="F27" t="str">
            <v>vb</v>
          </cell>
          <cell r="G27">
            <v>627000</v>
          </cell>
          <cell r="H27">
            <v>0</v>
          </cell>
          <cell r="I27" t="str">
            <v>01.001.005.001 - Administração de Carteira/Recebíveis 2%</v>
          </cell>
          <cell r="J27" t="str">
            <v>1 - CUSTOS DE INCORPORAÇÃO</v>
          </cell>
          <cell r="K27" t="str">
            <v>1 - CUSTOS DE INCORPORAÇÃO1.001.005.001</v>
          </cell>
          <cell r="L27">
            <v>627000</v>
          </cell>
          <cell r="N27">
            <v>177450</v>
          </cell>
          <cell r="O27">
            <v>5300</v>
          </cell>
          <cell r="P27">
            <v>62149.799999999981</v>
          </cell>
          <cell r="Q27">
            <v>0</v>
          </cell>
          <cell r="R27">
            <v>244899.8</v>
          </cell>
          <cell r="T27">
            <v>382100.2</v>
          </cell>
          <cell r="U27">
            <v>627000</v>
          </cell>
          <cell r="V27">
            <v>0</v>
          </cell>
        </row>
        <row r="28">
          <cell r="D28" t="str">
            <v>Distratos</v>
          </cell>
          <cell r="E28">
            <v>1</v>
          </cell>
          <cell r="F28" t="str">
            <v>vb</v>
          </cell>
          <cell r="G28">
            <v>0</v>
          </cell>
          <cell r="H28">
            <v>0</v>
          </cell>
          <cell r="I28" t="str">
            <v>01.001.005.002 - Distratos</v>
          </cell>
          <cell r="J28" t="str">
            <v>1 - CUSTOS DE INCORPORAÇÃO</v>
          </cell>
          <cell r="K28" t="str">
            <v>1 - CUSTOS DE INCORPORAÇÃO1.001.005.002</v>
          </cell>
          <cell r="L28">
            <v>0</v>
          </cell>
          <cell r="N28">
            <v>74349.140000000043</v>
          </cell>
          <cell r="O28">
            <v>19131.510000000002</v>
          </cell>
          <cell r="P28">
            <v>0</v>
          </cell>
          <cell r="Q28">
            <v>0</v>
          </cell>
          <cell r="R28">
            <v>93480.650000000052</v>
          </cell>
          <cell r="T28">
            <v>0</v>
          </cell>
          <cell r="U28">
            <v>93480.650000000052</v>
          </cell>
          <cell r="V28">
            <v>-93480.650000000052</v>
          </cell>
        </row>
        <row r="29">
          <cell r="D29" t="str">
            <v>CUSTO COM FINANCIAMENTO</v>
          </cell>
          <cell r="I29" t="str">
            <v>01.001.006 - CUSTO COM FINANCIAMENTO</v>
          </cell>
          <cell r="J29" t="str">
            <v>1 - CUSTOS DE INCORPORAÇÃO</v>
          </cell>
          <cell r="K29" t="str">
            <v>1 - CUSTOS DE INCORPORAÇÃO1.001.006</v>
          </cell>
          <cell r="L29">
            <v>990000</v>
          </cell>
          <cell r="N29">
            <v>1602764.5799999998</v>
          </cell>
          <cell r="O29">
            <v>0</v>
          </cell>
          <cell r="P29">
            <v>0</v>
          </cell>
          <cell r="Q29">
            <v>0</v>
          </cell>
          <cell r="R29">
            <v>1602764.5799999998</v>
          </cell>
          <cell r="T29">
            <v>304003.31000000006</v>
          </cell>
          <cell r="U29">
            <v>1906767.89</v>
          </cell>
          <cell r="V29">
            <v>-916767.8899999999</v>
          </cell>
        </row>
        <row r="30">
          <cell r="D30" t="str">
            <v>Juros sobre Financiamento</v>
          </cell>
          <cell r="E30">
            <v>1</v>
          </cell>
          <cell r="F30" t="str">
            <v>vb</v>
          </cell>
          <cell r="G30">
            <v>900000</v>
          </cell>
          <cell r="H30">
            <v>0</v>
          </cell>
          <cell r="I30" t="str">
            <v>01.001.006.001 - Juros sobre Financiamento</v>
          </cell>
          <cell r="J30" t="str">
            <v>1 - CUSTOS DE INCORPORAÇÃO</v>
          </cell>
          <cell r="K30" t="str">
            <v>1 - CUSTOS DE INCORPORAÇÃO1.001.006.001</v>
          </cell>
          <cell r="L30">
            <v>900000</v>
          </cell>
          <cell r="N30">
            <v>1569644.5799999998</v>
          </cell>
          <cell r="O30">
            <v>0</v>
          </cell>
          <cell r="P30">
            <v>0</v>
          </cell>
          <cell r="Q30">
            <v>0</v>
          </cell>
          <cell r="R30">
            <v>1569644.5799999998</v>
          </cell>
          <cell r="T30">
            <v>272323.31000000006</v>
          </cell>
          <cell r="U30">
            <v>1841967.89</v>
          </cell>
          <cell r="V30">
            <v>-941967.8899999999</v>
          </cell>
        </row>
        <row r="31">
          <cell r="D31" t="str">
            <v>Visitas Mensais do Banco a obra</v>
          </cell>
          <cell r="E31">
            <v>30</v>
          </cell>
          <cell r="F31" t="str">
            <v>mes</v>
          </cell>
          <cell r="G31">
            <v>90000</v>
          </cell>
          <cell r="H31">
            <v>0</v>
          </cell>
          <cell r="I31" t="str">
            <v>01.001.006.002 - Visitas Mensais do Banco a obra</v>
          </cell>
          <cell r="J31" t="str">
            <v>1 - CUSTOS DE INCORPORAÇÃO</v>
          </cell>
          <cell r="K31" t="str">
            <v>1 - CUSTOS DE INCORPORAÇÃO1.001.006.002</v>
          </cell>
          <cell r="L31">
            <v>90000</v>
          </cell>
          <cell r="N31">
            <v>33120</v>
          </cell>
          <cell r="O31">
            <v>0</v>
          </cell>
          <cell r="P31">
            <v>0</v>
          </cell>
          <cell r="Q31">
            <v>0</v>
          </cell>
          <cell r="R31">
            <v>33120</v>
          </cell>
          <cell r="T31">
            <v>31680</v>
          </cell>
          <cell r="U31">
            <v>64800</v>
          </cell>
          <cell r="V31">
            <v>25200</v>
          </cell>
        </row>
        <row r="32">
          <cell r="D32" t="str">
            <v>DESPESAS BANCÁRIAS</v>
          </cell>
          <cell r="I32" t="str">
            <v>01.001.007 - DESPESAS BANCÁRIAS</v>
          </cell>
          <cell r="J32" t="str">
            <v>1 - CUSTOS DE INCORPORAÇÃO</v>
          </cell>
          <cell r="K32" t="str">
            <v>1 - CUSTOS DE INCORPORAÇÃO1.001.007</v>
          </cell>
          <cell r="L32">
            <v>27000</v>
          </cell>
          <cell r="N32">
            <v>74982.059999999095</v>
          </cell>
          <cell r="O32">
            <v>0</v>
          </cell>
          <cell r="P32">
            <v>0</v>
          </cell>
          <cell r="Q32">
            <v>0</v>
          </cell>
          <cell r="R32">
            <v>74982.059999999095</v>
          </cell>
          <cell r="T32">
            <v>17609.350000000239</v>
          </cell>
          <cell r="U32">
            <v>92591.409999999334</v>
          </cell>
          <cell r="V32">
            <v>-65591.409999999334</v>
          </cell>
        </row>
        <row r="33">
          <cell r="D33" t="str">
            <v>Correspontes bancários</v>
          </cell>
          <cell r="E33">
            <v>12</v>
          </cell>
          <cell r="F33" t="str">
            <v>vb</v>
          </cell>
          <cell r="G33">
            <v>12000</v>
          </cell>
          <cell r="H33">
            <v>0</v>
          </cell>
          <cell r="I33" t="str">
            <v>01.001.007.001 - Correspontes bancários</v>
          </cell>
          <cell r="J33" t="str">
            <v>1 - CUSTOS DE INCORPORAÇÃO</v>
          </cell>
          <cell r="K33" t="str">
            <v>1 - CUSTOS DE INCORPORAÇÃO1.001.007.001</v>
          </cell>
          <cell r="L33">
            <v>12000</v>
          </cell>
          <cell r="N33">
            <v>2090</v>
          </cell>
          <cell r="O33">
            <v>0</v>
          </cell>
          <cell r="P33">
            <v>0</v>
          </cell>
          <cell r="Q33">
            <v>0</v>
          </cell>
          <cell r="R33">
            <v>2090</v>
          </cell>
          <cell r="T33">
            <v>9910</v>
          </cell>
          <cell r="U33">
            <v>12000</v>
          </cell>
          <cell r="V33">
            <v>0</v>
          </cell>
        </row>
        <row r="34">
          <cell r="D34" t="str">
            <v>Despesas Bancárias (Taxas, DOc, TEDs/Serviços)</v>
          </cell>
          <cell r="E34">
            <v>1</v>
          </cell>
          <cell r="F34" t="str">
            <v>vb</v>
          </cell>
          <cell r="G34">
            <v>15000</v>
          </cell>
          <cell r="H34">
            <v>0</v>
          </cell>
          <cell r="I34" t="str">
            <v>01.001.007.002 - Despesas Bancárias (Taxas, DOc, TEDs/Serviços)</v>
          </cell>
          <cell r="J34" t="str">
            <v>1 - CUSTOS DE INCORPORAÇÃO</v>
          </cell>
          <cell r="K34" t="str">
            <v>1 - CUSTOS DE INCORPORAÇÃO1.001.007.002</v>
          </cell>
          <cell r="L34">
            <v>15000</v>
          </cell>
          <cell r="N34">
            <v>72892.059999999095</v>
          </cell>
          <cell r="O34">
            <v>0</v>
          </cell>
          <cell r="P34">
            <v>0</v>
          </cell>
          <cell r="Q34">
            <v>0</v>
          </cell>
          <cell r="R34">
            <v>72892.059999999095</v>
          </cell>
          <cell r="T34">
            <v>7699.3500000002387</v>
          </cell>
          <cell r="U34">
            <v>80591.409999999334</v>
          </cell>
          <cell r="V34">
            <v>-65591.409999999334</v>
          </cell>
        </row>
        <row r="35">
          <cell r="D35" t="str">
            <v>DESPESAS FINAIS E OUTRAS DESPESAS</v>
          </cell>
          <cell r="I35" t="str">
            <v>01.001.008 - DESPESAS FINAIS E OUTRAS DESPESAS</v>
          </cell>
          <cell r="J35" t="str">
            <v>1 - CUSTOS DE INCORPORAÇÃO</v>
          </cell>
          <cell r="K35" t="str">
            <v>1 - CUSTOS DE INCORPORAÇÃO1.001.008</v>
          </cell>
          <cell r="L35">
            <v>312000</v>
          </cell>
          <cell r="N35">
            <v>2315.0500000000002</v>
          </cell>
          <cell r="O35">
            <v>0</v>
          </cell>
          <cell r="P35">
            <v>0</v>
          </cell>
          <cell r="Q35">
            <v>0</v>
          </cell>
          <cell r="R35">
            <v>2315.0500000000002</v>
          </cell>
          <cell r="T35">
            <v>297689.45</v>
          </cell>
          <cell r="U35">
            <v>300004.5</v>
          </cell>
          <cell r="V35">
            <v>11995.5</v>
          </cell>
        </row>
        <row r="36">
          <cell r="D36" t="str">
            <v>Habite-se, Aprovacoes finais, Averbações e Vistorias</v>
          </cell>
          <cell r="E36">
            <v>1</v>
          </cell>
          <cell r="F36" t="str">
            <v>vb</v>
          </cell>
          <cell r="G36">
            <v>150000</v>
          </cell>
          <cell r="H36">
            <v>0</v>
          </cell>
          <cell r="I36" t="str">
            <v>01.001.008.001 - Habite-se, Aprovacoes finais, Averbações e Vistorias</v>
          </cell>
          <cell r="J36" t="str">
            <v>1 - CUSTOS DE INCORPORAÇÃO</v>
          </cell>
          <cell r="K36" t="str">
            <v>1 - CUSTOS DE INCORPORAÇÃO1.001.008.001</v>
          </cell>
          <cell r="L36">
            <v>150000</v>
          </cell>
          <cell r="N36">
            <v>2310.5500000000002</v>
          </cell>
          <cell r="O36">
            <v>0</v>
          </cell>
          <cell r="P36">
            <v>0</v>
          </cell>
          <cell r="Q36">
            <v>0</v>
          </cell>
          <cell r="R36">
            <v>2310.5500000000002</v>
          </cell>
          <cell r="T36">
            <v>147689.45000000001</v>
          </cell>
          <cell r="U36">
            <v>150000</v>
          </cell>
          <cell r="V36">
            <v>0</v>
          </cell>
        </row>
        <row r="37">
          <cell r="D37" t="str">
            <v>Manual do Proprietário</v>
          </cell>
          <cell r="E37">
            <v>1</v>
          </cell>
          <cell r="F37" t="str">
            <v>vb</v>
          </cell>
          <cell r="G37">
            <v>12000</v>
          </cell>
          <cell r="H37">
            <v>0</v>
          </cell>
          <cell r="I37" t="str">
            <v>01.001.008.002 - Manual do Proprietário</v>
          </cell>
          <cell r="J37" t="str">
            <v>1 - CUSTOS DE INCORPORAÇÃO</v>
          </cell>
          <cell r="K37" t="str">
            <v>1 - CUSTOS DE INCORPORAÇÃO1.001.008.002</v>
          </cell>
          <cell r="L37">
            <v>12000</v>
          </cell>
          <cell r="N37">
            <v>4.5</v>
          </cell>
          <cell r="O37">
            <v>0</v>
          </cell>
          <cell r="P37">
            <v>0</v>
          </cell>
          <cell r="Q37">
            <v>0</v>
          </cell>
          <cell r="R37">
            <v>4.5</v>
          </cell>
          <cell r="T37">
            <v>0</v>
          </cell>
          <cell r="U37">
            <v>4.5</v>
          </cell>
          <cell r="V37">
            <v>11995.5</v>
          </cell>
        </row>
        <row r="38">
          <cell r="D38" t="str">
            <v>Desenvolvimento do Negócio/Prospecção</v>
          </cell>
          <cell r="E38">
            <v>1</v>
          </cell>
          <cell r="F38" t="str">
            <v>vb</v>
          </cell>
          <cell r="G38">
            <v>150000</v>
          </cell>
          <cell r="H38">
            <v>0</v>
          </cell>
          <cell r="I38" t="str">
            <v>01.001.008.003 - Desenvolvimento do Negócio/Prospecção</v>
          </cell>
          <cell r="J38" t="str">
            <v>1 - CUSTOS DE INCORPORAÇÃO</v>
          </cell>
          <cell r="K38" t="str">
            <v>1 - CUSTOS DE INCORPORAÇÃO1.001.008.003</v>
          </cell>
          <cell r="L38">
            <v>150000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T38">
            <v>150000</v>
          </cell>
          <cell r="U38">
            <v>150000</v>
          </cell>
          <cell r="V38">
            <v>0</v>
          </cell>
        </row>
        <row r="39">
          <cell r="D39" t="str">
            <v>TAXAS ADMINISTRAÇÃO DE OBRA (BDI 10%)</v>
          </cell>
          <cell r="I39" t="str">
            <v>02 - TAXAS ADMINISTRAÇÃO DE OBRA (BDI 10%)</v>
          </cell>
          <cell r="J39" t="str">
            <v>1 - CUSTOS DE INCORPORAÇÃO</v>
          </cell>
          <cell r="K39" t="str">
            <v>1 - CUSTOS DE INCORPORAÇÃO2</v>
          </cell>
          <cell r="L39">
            <v>2391066</v>
          </cell>
          <cell r="N39">
            <v>1818331.6099999999</v>
          </cell>
          <cell r="O39">
            <v>0</v>
          </cell>
          <cell r="P39">
            <v>0</v>
          </cell>
          <cell r="Q39">
            <v>0</v>
          </cell>
          <cell r="R39">
            <v>1818331.6099999999</v>
          </cell>
          <cell r="T39">
            <v>463433.42400000058</v>
          </cell>
          <cell r="U39">
            <v>2281765.0340000005</v>
          </cell>
          <cell r="V39">
            <v>109300.96599999955</v>
          </cell>
        </row>
        <row r="40">
          <cell r="D40" t="str">
            <v>TAXAS ADMINISTRAÇÃO DE OBRA (BDI 10%)</v>
          </cell>
          <cell r="I40" t="str">
            <v>02.001 - TAXAS ADMINISTRAÇÃO DE OBRA (BDI 10%)</v>
          </cell>
          <cell r="J40" t="str">
            <v>1 - CUSTOS DE INCORPORAÇÃO</v>
          </cell>
          <cell r="K40" t="str">
            <v>1 - CUSTOS DE INCORPORAÇÃO2.001</v>
          </cell>
          <cell r="L40">
            <v>2391066</v>
          </cell>
          <cell r="N40">
            <v>1818331.6099999999</v>
          </cell>
          <cell r="O40">
            <v>0</v>
          </cell>
          <cell r="P40">
            <v>0</v>
          </cell>
          <cell r="Q40">
            <v>0</v>
          </cell>
          <cell r="R40">
            <v>1818331.6099999999</v>
          </cell>
          <cell r="T40">
            <v>463433.42400000058</v>
          </cell>
          <cell r="U40">
            <v>2281765.0340000005</v>
          </cell>
          <cell r="V40">
            <v>109300.96599999955</v>
          </cell>
        </row>
        <row r="41">
          <cell r="D41" t="str">
            <v>TAXAS ADMINISTRAÇÃO DE OBRA (BDI 10%)</v>
          </cell>
          <cell r="I41" t="str">
            <v>02.001.001 - TAXAS ADMINISTRAÇÃO DE OBRA (BDI 10%)</v>
          </cell>
          <cell r="J41" t="str">
            <v>1 - CUSTOS DE INCORPORAÇÃO</v>
          </cell>
          <cell r="K41" t="str">
            <v>1 - CUSTOS DE INCORPORAÇÃO2.001.001</v>
          </cell>
          <cell r="L41">
            <v>2391066</v>
          </cell>
          <cell r="N41">
            <v>1818331.6099999999</v>
          </cell>
          <cell r="O41">
            <v>0</v>
          </cell>
          <cell r="P41">
            <v>0</v>
          </cell>
          <cell r="Q41">
            <v>0</v>
          </cell>
          <cell r="R41">
            <v>1818331.6099999999</v>
          </cell>
          <cell r="T41">
            <v>463433.42400000058</v>
          </cell>
          <cell r="U41">
            <v>2281765.0340000005</v>
          </cell>
          <cell r="V41">
            <v>109300.96599999955</v>
          </cell>
        </row>
        <row r="42">
          <cell r="D42" t="str">
            <v>Taxas Administração De Obra (Bdi 10%)</v>
          </cell>
          <cell r="E42">
            <v>1</v>
          </cell>
          <cell r="F42" t="str">
            <v>vb</v>
          </cell>
          <cell r="G42">
            <v>2391066</v>
          </cell>
          <cell r="H42">
            <v>0</v>
          </cell>
          <cell r="I42" t="str">
            <v>02.001.001.001 - Taxas Administração De Obra (Bdi 10%)</v>
          </cell>
          <cell r="J42" t="str">
            <v>1 - CUSTOS DE INCORPORAÇÃO</v>
          </cell>
          <cell r="K42" t="str">
            <v>1 - CUSTOS DE INCORPORAÇÃO2.001.001.001</v>
          </cell>
          <cell r="L42">
            <v>2391066</v>
          </cell>
          <cell r="N42">
            <v>1818331.6099999999</v>
          </cell>
          <cell r="O42">
            <v>0</v>
          </cell>
          <cell r="P42">
            <v>0</v>
          </cell>
          <cell r="Q42">
            <v>0</v>
          </cell>
          <cell r="R42">
            <v>1818331.6099999999</v>
          </cell>
          <cell r="T42">
            <v>463433.42400000058</v>
          </cell>
          <cell r="U42">
            <v>2281765.0340000005</v>
          </cell>
          <cell r="V42">
            <v>109300.96599999955</v>
          </cell>
        </row>
        <row r="43">
          <cell r="D43" t="str">
            <v>LIMPEZA E DESMOBILIZAÇÃO FINAL</v>
          </cell>
          <cell r="I43" t="str">
            <v>01.024.001 - LIMPEZA E DESMOBILIZAÇÃO FINAL</v>
          </cell>
          <cell r="J43" t="str">
            <v>3 - CUSTOS DIRETOS</v>
          </cell>
          <cell r="K43" t="str">
            <v>3 - CUSTOS DIRETOS1.024.001</v>
          </cell>
          <cell r="L43">
            <v>73179.929999999993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T43">
            <v>0</v>
          </cell>
          <cell r="U43">
            <v>0</v>
          </cell>
          <cell r="V43">
            <v>73179.929999999993</v>
          </cell>
        </row>
        <row r="44">
          <cell r="D44" t="str">
            <v>Limpeza Final De Obra</v>
          </cell>
          <cell r="E44">
            <v>9292.69</v>
          </cell>
          <cell r="F44" t="str">
            <v>vb</v>
          </cell>
          <cell r="G44">
            <v>73179.929999999993</v>
          </cell>
          <cell r="H44">
            <v>0</v>
          </cell>
          <cell r="I44" t="str">
            <v>01.024.001.001 - Limpeza Final De Obra</v>
          </cell>
          <cell r="J44" t="str">
            <v>3 - CUSTOS DIRETOS</v>
          </cell>
          <cell r="K44" t="str">
            <v>3 - CUSTOS DIRETOS1.024.001.001</v>
          </cell>
          <cell r="L44">
            <v>73179.929999999993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T44">
            <v>0</v>
          </cell>
          <cell r="U44">
            <v>0</v>
          </cell>
          <cell r="V44">
            <v>73179.929999999993</v>
          </cell>
        </row>
        <row r="45">
          <cell r="D45" t="str">
            <v>CORREÇÕES FINANCEIRAS</v>
          </cell>
          <cell r="I45" t="str">
            <v>01 - CORREÇÕES FINANCEIRAS</v>
          </cell>
          <cell r="J45" t="str">
            <v>4 - CORREÇÕES FINANCEIRAS</v>
          </cell>
          <cell r="K45" t="str">
            <v>4 - CORREÇÕES FINANCEIRAS1</v>
          </cell>
          <cell r="L45">
            <v>0</v>
          </cell>
          <cell r="N45">
            <v>14972.789999999999</v>
          </cell>
          <cell r="O45">
            <v>0</v>
          </cell>
          <cell r="P45">
            <v>0</v>
          </cell>
          <cell r="Q45">
            <v>0</v>
          </cell>
          <cell r="R45">
            <v>14972.789999999999</v>
          </cell>
          <cell r="T45">
            <v>0</v>
          </cell>
          <cell r="U45">
            <v>14972.789999999999</v>
          </cell>
          <cell r="V45">
            <v>-14972.789999999999</v>
          </cell>
        </row>
        <row r="46">
          <cell r="D46" t="str">
            <v>CORREÇÕES FINANCEIRAS</v>
          </cell>
          <cell r="I46" t="str">
            <v>01.001 - CORREÇÕES FINANCEIRAS</v>
          </cell>
          <cell r="J46" t="str">
            <v>4 - CORREÇÕES FINANCEIRAS</v>
          </cell>
          <cell r="K46" t="str">
            <v>4 - CORREÇÕES FINANCEIRAS1.001</v>
          </cell>
          <cell r="L46">
            <v>0</v>
          </cell>
          <cell r="N46">
            <v>14972.789999999999</v>
          </cell>
          <cell r="O46">
            <v>0</v>
          </cell>
          <cell r="P46">
            <v>0</v>
          </cell>
          <cell r="Q46">
            <v>0</v>
          </cell>
          <cell r="R46">
            <v>14972.789999999999</v>
          </cell>
          <cell r="T46">
            <v>0</v>
          </cell>
          <cell r="U46">
            <v>14972.789999999999</v>
          </cell>
          <cell r="V46">
            <v>-14972.789999999999</v>
          </cell>
        </row>
        <row r="47">
          <cell r="D47" t="str">
            <v>CORREÇÕES FINANCEIRAS</v>
          </cell>
          <cell r="I47" t="str">
            <v>01.001.001 - CORREÇÕES FINANCEIRAS</v>
          </cell>
          <cell r="J47" t="str">
            <v>4 - CORREÇÕES FINANCEIRAS</v>
          </cell>
          <cell r="K47" t="str">
            <v>4 - CORREÇÕES FINANCEIRAS1.001.001</v>
          </cell>
          <cell r="L47">
            <v>0</v>
          </cell>
          <cell r="N47">
            <v>14972.789999999999</v>
          </cell>
          <cell r="O47">
            <v>0</v>
          </cell>
          <cell r="P47">
            <v>0</v>
          </cell>
          <cell r="Q47">
            <v>0</v>
          </cell>
          <cell r="R47">
            <v>14972.789999999999</v>
          </cell>
          <cell r="T47">
            <v>0</v>
          </cell>
          <cell r="U47">
            <v>14972.789999999999</v>
          </cell>
          <cell r="V47">
            <v>-14972.789999999999</v>
          </cell>
        </row>
        <row r="48">
          <cell r="D48" t="str">
            <v>Valores Pagos Indevidos</v>
          </cell>
          <cell r="E48">
            <v>1</v>
          </cell>
          <cell r="F48" t="str">
            <v>vb</v>
          </cell>
          <cell r="G48">
            <v>0</v>
          </cell>
          <cell r="H48">
            <v>0</v>
          </cell>
          <cell r="I48" t="str">
            <v>01.001.001.001 - Valores Pagos Indevidos</v>
          </cell>
          <cell r="J48" t="str">
            <v>4 - CORREÇÕES FINANCEIRAS</v>
          </cell>
          <cell r="K48" t="str">
            <v>4 - CORREÇÕES FINANCEIRAS1.001.001.001</v>
          </cell>
          <cell r="L48">
            <v>0</v>
          </cell>
          <cell r="N48">
            <v>14972.789999999999</v>
          </cell>
          <cell r="O48">
            <v>0</v>
          </cell>
          <cell r="P48">
            <v>0</v>
          </cell>
          <cell r="Q48">
            <v>0</v>
          </cell>
          <cell r="R48">
            <v>14972.789999999999</v>
          </cell>
          <cell r="T48">
            <v>0</v>
          </cell>
          <cell r="U48">
            <v>14972.789999999999</v>
          </cell>
          <cell r="V48">
            <v>-14972.789999999999</v>
          </cell>
        </row>
        <row r="49">
          <cell r="D49" t="str">
            <v>GESTÃO FINANCEIRA</v>
          </cell>
          <cell r="I49" t="str">
            <v>01 - GESTÃO FINANCEIRA</v>
          </cell>
          <cell r="J49" t="str">
            <v>5 - GESTAO FINANCEIRA</v>
          </cell>
          <cell r="K49" t="str">
            <v>5 - GESTAO FINANCEIRA1</v>
          </cell>
          <cell r="L49">
            <v>0</v>
          </cell>
          <cell r="N49">
            <v>2043120.41</v>
          </cell>
          <cell r="O49">
            <v>0</v>
          </cell>
          <cell r="P49">
            <v>0</v>
          </cell>
          <cell r="Q49">
            <v>0</v>
          </cell>
          <cell r="R49">
            <v>2043120.41</v>
          </cell>
          <cell r="T49">
            <v>-2042368.69</v>
          </cell>
          <cell r="U49">
            <v>751.71999999997206</v>
          </cell>
          <cell r="V49">
            <v>-751.71999999997206</v>
          </cell>
        </row>
      </sheetData>
      <sheetData sheetId="4"/>
      <sheetData sheetId="5"/>
      <sheetData sheetId="6"/>
      <sheetData sheetId="7">
        <row r="6">
          <cell r="L6">
            <v>23902729.770000003</v>
          </cell>
          <cell r="N6">
            <v>17709261.730000004</v>
          </cell>
          <cell r="O6">
            <v>703370.67</v>
          </cell>
          <cell r="P6">
            <v>1410543.08</v>
          </cell>
          <cell r="Q6">
            <v>79051.8</v>
          </cell>
          <cell r="R6">
            <v>19902227.280000005</v>
          </cell>
          <cell r="T6">
            <v>2915423.0599999987</v>
          </cell>
          <cell r="U6">
            <v>22817650.340000004</v>
          </cell>
          <cell r="V6">
            <v>1085079.4299999997</v>
          </cell>
        </row>
        <row r="7">
          <cell r="D7" t="str">
            <v>CUSTOS INDIRETOS - ORC EXECUTIVO</v>
          </cell>
          <cell r="I7" t="str">
            <v>01 - CUSTOS INDIRETOS - ORC EXECUTIVO</v>
          </cell>
          <cell r="J7" t="str">
            <v xml:space="preserve">2 - CUSTOS INDIRETOS </v>
          </cell>
          <cell r="K7" t="str">
            <v>2 - CUSTOS INDIRETOS 1</v>
          </cell>
          <cell r="L7">
            <v>5210747.9000000004</v>
          </cell>
          <cell r="N7">
            <v>3709410.16</v>
          </cell>
          <cell r="O7">
            <v>82396.13</v>
          </cell>
          <cell r="P7">
            <v>320041.18000000005</v>
          </cell>
          <cell r="Q7">
            <v>2661.26</v>
          </cell>
          <cell r="R7">
            <v>4114508.73</v>
          </cell>
          <cell r="T7">
            <v>867687.15999999968</v>
          </cell>
          <cell r="U7">
            <v>4982195.8899999997</v>
          </cell>
          <cell r="V7">
            <v>228552.01000000071</v>
          </cell>
        </row>
        <row r="8">
          <cell r="D8" t="str">
            <v>SERVIÇOS PRELIMINARES E GERAIS</v>
          </cell>
          <cell r="I8" t="str">
            <v>01.001 - SERVIÇOS PRELIMINARES E GERAIS</v>
          </cell>
          <cell r="J8" t="str">
            <v xml:space="preserve">2 - CUSTOS INDIRETOS </v>
          </cell>
          <cell r="K8" t="str">
            <v>2 - CUSTOS INDIRETOS 1.001</v>
          </cell>
          <cell r="L8">
            <v>891749.49</v>
          </cell>
          <cell r="N8">
            <v>531321.84000000008</v>
          </cell>
          <cell r="O8">
            <v>1350</v>
          </cell>
          <cell r="P8">
            <v>10085.9</v>
          </cell>
          <cell r="Q8">
            <v>0</v>
          </cell>
          <cell r="R8">
            <v>542757.74000000011</v>
          </cell>
          <cell r="T8">
            <v>198865.07000000004</v>
          </cell>
          <cell r="U8">
            <v>741622.81000000017</v>
          </cell>
          <cell r="V8">
            <v>150126.67999999982</v>
          </cell>
        </row>
        <row r="9">
          <cell r="D9" t="str">
            <v>IMPOSTOS, CUSTOS TÉCNICO E APROVAÇÕES</v>
          </cell>
          <cell r="I9" t="str">
            <v>01.001.001 - IMPOSTOS, CUSTOS TÉCNICO E APROVAÇÕES</v>
          </cell>
          <cell r="J9" t="str">
            <v xml:space="preserve">2 - CUSTOS INDIRETOS </v>
          </cell>
          <cell r="K9" t="str">
            <v>2 - CUSTOS INDIRETOS 1.001.001</v>
          </cell>
          <cell r="L9">
            <v>367080.9</v>
          </cell>
          <cell r="N9">
            <v>133478.57</v>
          </cell>
          <cell r="O9">
            <v>0</v>
          </cell>
          <cell r="P9">
            <v>0</v>
          </cell>
          <cell r="Q9">
            <v>0</v>
          </cell>
          <cell r="R9">
            <v>133478.57</v>
          </cell>
          <cell r="T9">
            <v>167865.09</v>
          </cell>
          <cell r="U9">
            <v>301343.66000000003</v>
          </cell>
          <cell r="V9">
            <v>65737.239999999991</v>
          </cell>
        </row>
        <row r="10">
          <cell r="D10" t="str">
            <v>Intermediação De Venda Lote/Terreno</v>
          </cell>
          <cell r="E10">
            <v>1</v>
          </cell>
          <cell r="F10" t="str">
            <v>vb</v>
          </cell>
          <cell r="G10">
            <v>0</v>
          </cell>
          <cell r="H10">
            <v>0</v>
          </cell>
          <cell r="I10" t="str">
            <v>01.001.001.001 - Intermediação De Venda Lote/Terreno</v>
          </cell>
          <cell r="J10" t="str">
            <v xml:space="preserve">2 - CUSTOS INDIRETOS </v>
          </cell>
          <cell r="K10" t="str">
            <v>2 - CUSTOS INDIRETOS 1.001.001.001</v>
          </cell>
          <cell r="L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D11" t="str">
            <v>Vistorias/Laudos De Impacto De Vizinhança E Ambiental</v>
          </cell>
          <cell r="E11">
            <v>1</v>
          </cell>
          <cell r="F11" t="str">
            <v>vb</v>
          </cell>
          <cell r="G11">
            <v>6000</v>
          </cell>
          <cell r="H11">
            <v>0</v>
          </cell>
          <cell r="I11" t="str">
            <v>01.001.001.002 - Vistorias/Laudos De Impacto De Vizinhança E Ambiental</v>
          </cell>
          <cell r="J11" t="str">
            <v xml:space="preserve">2 - CUSTOS INDIRETOS </v>
          </cell>
          <cell r="K11" t="str">
            <v>2 - CUSTOS INDIRETOS 1.001.001.002</v>
          </cell>
          <cell r="L11">
            <v>6000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T11">
            <v>0</v>
          </cell>
          <cell r="U11">
            <v>0</v>
          </cell>
          <cell r="V11">
            <v>6000</v>
          </cell>
        </row>
        <row r="12">
          <cell r="D12" t="str">
            <v>Seguro De Riscos De Engenharia</v>
          </cell>
          <cell r="E12">
            <v>1</v>
          </cell>
          <cell r="F12" t="str">
            <v>vb</v>
          </cell>
          <cell r="G12">
            <v>19275.04</v>
          </cell>
          <cell r="H12">
            <v>0</v>
          </cell>
          <cell r="I12" t="str">
            <v>01.001.001.003 - Seguro De Riscos De Engenharia</v>
          </cell>
          <cell r="J12" t="str">
            <v xml:space="preserve">2 - CUSTOS INDIRETOS </v>
          </cell>
          <cell r="K12" t="str">
            <v>2 - CUSTOS INDIRETOS 1.001.001.003</v>
          </cell>
          <cell r="L12">
            <v>19275.04</v>
          </cell>
          <cell r="N12">
            <v>37155.409999999996</v>
          </cell>
          <cell r="O12">
            <v>0</v>
          </cell>
          <cell r="P12">
            <v>0</v>
          </cell>
          <cell r="Q12">
            <v>0</v>
          </cell>
          <cell r="R12">
            <v>37155.409999999996</v>
          </cell>
          <cell r="T12">
            <v>0</v>
          </cell>
          <cell r="U12">
            <v>37155.409999999996</v>
          </cell>
          <cell r="V12">
            <v>-17880.369999999995</v>
          </cell>
        </row>
        <row r="13">
          <cell r="D13" t="str">
            <v>Taxa De Habite-Se</v>
          </cell>
          <cell r="E13">
            <v>9292.69</v>
          </cell>
          <cell r="F13" t="str">
            <v>m2</v>
          </cell>
          <cell r="G13">
            <v>0</v>
          </cell>
          <cell r="H13">
            <v>0</v>
          </cell>
          <cell r="I13" t="str">
            <v>01.001.001.004 - Taxa De Habite-Se</v>
          </cell>
          <cell r="J13" t="str">
            <v xml:space="preserve">2 - CUSTOS INDIRETOS </v>
          </cell>
          <cell r="K13" t="str">
            <v>2 - CUSTOS INDIRETOS 1.001.001.004</v>
          </cell>
          <cell r="L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D14" t="str">
            <v>Taxa De Vistoria Do Corpo De Bombeiro</v>
          </cell>
          <cell r="E14">
            <v>9292.69</v>
          </cell>
          <cell r="F14" t="str">
            <v>m2</v>
          </cell>
          <cell r="G14">
            <v>7805.86</v>
          </cell>
          <cell r="H14">
            <v>0</v>
          </cell>
          <cell r="I14" t="str">
            <v>01.001.001.005 - Taxa De Vistoria Do Corpo De Bombeiro</v>
          </cell>
          <cell r="J14" t="str">
            <v xml:space="preserve">2 - CUSTOS INDIRETOS </v>
          </cell>
          <cell r="K14" t="str">
            <v>2 - CUSTOS INDIRETOS 1.001.001.005</v>
          </cell>
          <cell r="L14">
            <v>7805.86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U14">
            <v>0</v>
          </cell>
          <cell r="V14">
            <v>7805.86</v>
          </cell>
        </row>
        <row r="15">
          <cell r="D15" t="str">
            <v>Extensão De Rede De Esgoto</v>
          </cell>
          <cell r="E15">
            <v>1</v>
          </cell>
          <cell r="F15" t="str">
            <v>vb</v>
          </cell>
          <cell r="G15">
            <v>160000</v>
          </cell>
          <cell r="H15">
            <v>0</v>
          </cell>
          <cell r="I15" t="str">
            <v>01.001.001.006 - Extensão De Rede De Esgoto</v>
          </cell>
          <cell r="J15" t="str">
            <v xml:space="preserve">2 - CUSTOS INDIRETOS </v>
          </cell>
          <cell r="K15" t="str">
            <v>2 - CUSTOS INDIRETOS 1.001.001.006</v>
          </cell>
          <cell r="L15">
            <v>160000</v>
          </cell>
          <cell r="N15">
            <v>326.10000000000002</v>
          </cell>
          <cell r="O15">
            <v>0</v>
          </cell>
          <cell r="P15">
            <v>0</v>
          </cell>
          <cell r="Q15">
            <v>0</v>
          </cell>
          <cell r="R15">
            <v>326.10000000000002</v>
          </cell>
          <cell r="T15">
            <v>159673.9</v>
          </cell>
          <cell r="U15">
            <v>160000</v>
          </cell>
          <cell r="V15">
            <v>0</v>
          </cell>
        </row>
        <row r="16">
          <cell r="D16" t="str">
            <v>Despesas Com Crea</v>
          </cell>
          <cell r="E16">
            <v>1</v>
          </cell>
          <cell r="F16" t="str">
            <v>vb</v>
          </cell>
          <cell r="G16">
            <v>4000</v>
          </cell>
          <cell r="H16">
            <v>0</v>
          </cell>
          <cell r="I16" t="str">
            <v>01.001.001.007 - Despesas Com Crea</v>
          </cell>
          <cell r="J16" t="str">
            <v xml:space="preserve">2 - CUSTOS INDIRETOS </v>
          </cell>
          <cell r="K16" t="str">
            <v>2 - CUSTOS INDIRETOS 1.001.001.007</v>
          </cell>
          <cell r="L16">
            <v>4000</v>
          </cell>
          <cell r="N16">
            <v>1184.6000000000001</v>
          </cell>
          <cell r="O16">
            <v>0</v>
          </cell>
          <cell r="P16">
            <v>0</v>
          </cell>
          <cell r="Q16">
            <v>0</v>
          </cell>
          <cell r="R16">
            <v>1184.6000000000001</v>
          </cell>
          <cell r="T16">
            <v>2815.3999999999996</v>
          </cell>
          <cell r="U16">
            <v>4000</v>
          </cell>
          <cell r="V16">
            <v>0</v>
          </cell>
        </row>
        <row r="17">
          <cell r="D17" t="str">
            <v>Indenizações  A  Terceiros</v>
          </cell>
          <cell r="E17">
            <v>1</v>
          </cell>
          <cell r="F17" t="str">
            <v>vb</v>
          </cell>
          <cell r="G17">
            <v>20000</v>
          </cell>
          <cell r="H17">
            <v>0</v>
          </cell>
          <cell r="I17" t="str">
            <v>01.001.001.008 - Indenizações  A  Terceiros</v>
          </cell>
          <cell r="J17" t="str">
            <v xml:space="preserve">2 - CUSTOS INDIRETOS </v>
          </cell>
          <cell r="K17" t="str">
            <v>2 - CUSTOS INDIRETOS 1.001.001.008</v>
          </cell>
          <cell r="L17">
            <v>20000</v>
          </cell>
          <cell r="N17">
            <v>14624.21</v>
          </cell>
          <cell r="O17">
            <v>0</v>
          </cell>
          <cell r="P17">
            <v>0</v>
          </cell>
          <cell r="Q17">
            <v>0</v>
          </cell>
          <cell r="R17">
            <v>14624.21</v>
          </cell>
          <cell r="T17">
            <v>5375.7900000000009</v>
          </cell>
          <cell r="U17">
            <v>20000</v>
          </cell>
          <cell r="V17">
            <v>0</v>
          </cell>
        </row>
        <row r="18">
          <cell r="D18" t="str">
            <v>Seguro De Termino De Obra</v>
          </cell>
          <cell r="E18">
            <v>1</v>
          </cell>
          <cell r="F18" t="str">
            <v>vb</v>
          </cell>
          <cell r="G18">
            <v>150000</v>
          </cell>
          <cell r="H18">
            <v>0</v>
          </cell>
          <cell r="I18" t="str">
            <v>01.001.001.009 - Seguro De Termino De Obra</v>
          </cell>
          <cell r="J18" t="str">
            <v xml:space="preserve">2 - CUSTOS INDIRETOS </v>
          </cell>
          <cell r="K18" t="str">
            <v>2 - CUSTOS INDIRETOS 1.001.001.009</v>
          </cell>
          <cell r="L18">
            <v>150000</v>
          </cell>
          <cell r="N18">
            <v>80188.25</v>
          </cell>
          <cell r="O18">
            <v>0</v>
          </cell>
          <cell r="P18">
            <v>0</v>
          </cell>
          <cell r="Q18">
            <v>0</v>
          </cell>
          <cell r="R18">
            <v>80188.25</v>
          </cell>
          <cell r="T18">
            <v>0</v>
          </cell>
          <cell r="U18">
            <v>80188.25</v>
          </cell>
          <cell r="V18">
            <v>69811.75</v>
          </cell>
        </row>
        <row r="19">
          <cell r="D19" t="str">
            <v>PROJETOS E ASSESSORIAS</v>
          </cell>
          <cell r="I19" t="str">
            <v>01.001.002 - PROJETOS E ASSESSORIAS</v>
          </cell>
          <cell r="J19" t="str">
            <v xml:space="preserve">2 - CUSTOS INDIRETOS </v>
          </cell>
          <cell r="K19" t="str">
            <v>2 - CUSTOS INDIRETOS 1.001.002</v>
          </cell>
          <cell r="L19">
            <v>524668.59</v>
          </cell>
          <cell r="N19">
            <v>397843.27</v>
          </cell>
          <cell r="O19">
            <v>1350</v>
          </cell>
          <cell r="P19">
            <v>10085.9</v>
          </cell>
          <cell r="Q19">
            <v>0</v>
          </cell>
          <cell r="R19">
            <v>409279.17000000004</v>
          </cell>
          <cell r="T19">
            <v>30999.98000000004</v>
          </cell>
          <cell r="U19">
            <v>440279.15000000008</v>
          </cell>
          <cell r="V19">
            <v>84389.439999999886</v>
          </cell>
        </row>
        <row r="20">
          <cell r="D20" t="str">
            <v>Projetos Já Incorrido</v>
          </cell>
          <cell r="E20">
            <v>1</v>
          </cell>
          <cell r="F20" t="str">
            <v>vb</v>
          </cell>
          <cell r="G20">
            <v>0</v>
          </cell>
          <cell r="H20">
            <v>0</v>
          </cell>
          <cell r="I20" t="str">
            <v>01.001.002.001 - Projetos Já Incorrido</v>
          </cell>
          <cell r="J20" t="str">
            <v xml:space="preserve">2 - CUSTOS INDIRETOS </v>
          </cell>
          <cell r="K20" t="str">
            <v>2 - CUSTOS INDIRETOS 1.001.002.001</v>
          </cell>
          <cell r="L20">
            <v>3200</v>
          </cell>
          <cell r="N20">
            <v>3200</v>
          </cell>
          <cell r="O20">
            <v>0</v>
          </cell>
          <cell r="P20">
            <v>0</v>
          </cell>
          <cell r="Q20">
            <v>0</v>
          </cell>
          <cell r="R20">
            <v>3200</v>
          </cell>
          <cell r="T20">
            <v>0</v>
          </cell>
          <cell r="U20">
            <v>3200</v>
          </cell>
          <cell r="V20">
            <v>0</v>
          </cell>
        </row>
        <row r="21">
          <cell r="D21" t="str">
            <v>Projetos A Incorrer</v>
          </cell>
          <cell r="E21">
            <v>1</v>
          </cell>
          <cell r="F21" t="str">
            <v>vb</v>
          </cell>
          <cell r="G21">
            <v>0</v>
          </cell>
          <cell r="H21">
            <v>0</v>
          </cell>
          <cell r="I21" t="str">
            <v>01.001.002.002 - Projetos A Incorrer</v>
          </cell>
          <cell r="J21" t="str">
            <v xml:space="preserve">2 - CUSTOS INDIRETOS </v>
          </cell>
          <cell r="K21" t="str">
            <v>2 - CUSTOS INDIRETOS 1.001.002.002</v>
          </cell>
          <cell r="L21">
            <v>0</v>
          </cell>
          <cell r="N21">
            <v>25200</v>
          </cell>
          <cell r="O21">
            <v>0</v>
          </cell>
          <cell r="P21">
            <v>0</v>
          </cell>
          <cell r="Q21">
            <v>0</v>
          </cell>
          <cell r="R21">
            <v>25200</v>
          </cell>
          <cell r="T21">
            <v>0</v>
          </cell>
          <cell r="U21">
            <v>25200</v>
          </cell>
          <cell r="V21">
            <v>-25200</v>
          </cell>
        </row>
        <row r="22">
          <cell r="D22" t="str">
            <v>As Built</v>
          </cell>
          <cell r="E22">
            <v>1</v>
          </cell>
          <cell r="F22" t="str">
            <v>vb</v>
          </cell>
          <cell r="G22">
            <v>0</v>
          </cell>
          <cell r="H22">
            <v>0</v>
          </cell>
          <cell r="I22" t="str">
            <v>01.001.002.003 - As Built</v>
          </cell>
          <cell r="J22" t="str">
            <v xml:space="preserve">2 - CUSTOS INDIRETOS </v>
          </cell>
          <cell r="K22" t="str">
            <v>2 - CUSTOS INDIRETOS 1.001.002.003</v>
          </cell>
          <cell r="L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D23" t="str">
            <v>Orçamento E Planejamento Executivo Da Obra</v>
          </cell>
          <cell r="E23">
            <v>1</v>
          </cell>
          <cell r="F23" t="str">
            <v>vb</v>
          </cell>
          <cell r="G23">
            <v>15000</v>
          </cell>
          <cell r="H23">
            <v>0</v>
          </cell>
          <cell r="I23" t="str">
            <v>01.001.002.004 - Orçamento E Planejamento Executivo Da Obra</v>
          </cell>
          <cell r="J23" t="str">
            <v xml:space="preserve">2 - CUSTOS INDIRETOS </v>
          </cell>
          <cell r="K23" t="str">
            <v>2 - CUSTOS INDIRETOS 1.001.002.004</v>
          </cell>
          <cell r="L23">
            <v>19650</v>
          </cell>
          <cell r="N23">
            <v>19650</v>
          </cell>
          <cell r="O23">
            <v>0</v>
          </cell>
          <cell r="P23">
            <v>0</v>
          </cell>
          <cell r="Q23">
            <v>0</v>
          </cell>
          <cell r="R23">
            <v>19650</v>
          </cell>
          <cell r="T23">
            <v>0</v>
          </cell>
          <cell r="U23">
            <v>19650</v>
          </cell>
          <cell r="V23">
            <v>0</v>
          </cell>
        </row>
        <row r="24">
          <cell r="D24" t="str">
            <v>Acompanhamento Da Obra</v>
          </cell>
          <cell r="E24">
            <v>35</v>
          </cell>
          <cell r="F24" t="str">
            <v>mes</v>
          </cell>
          <cell r="G24">
            <v>140000</v>
          </cell>
          <cell r="H24">
            <v>0</v>
          </cell>
          <cell r="I24" t="str">
            <v>01.001.002.005 - Acompanhamento Da Obra</v>
          </cell>
          <cell r="J24" t="str">
            <v xml:space="preserve">2 - CUSTOS INDIRETOS </v>
          </cell>
          <cell r="K24" t="str">
            <v>2 - CUSTOS INDIRETOS 1.001.002.005</v>
          </cell>
          <cell r="L24">
            <v>140000</v>
          </cell>
          <cell r="N24">
            <v>61916.68</v>
          </cell>
          <cell r="O24">
            <v>0</v>
          </cell>
          <cell r="P24">
            <v>6550</v>
          </cell>
          <cell r="Q24">
            <v>0</v>
          </cell>
          <cell r="R24">
            <v>68466.679999999993</v>
          </cell>
          <cell r="U24">
            <v>68466.679999999993</v>
          </cell>
          <cell r="V24">
            <v>71533.320000000007</v>
          </cell>
        </row>
        <row r="25">
          <cell r="D25" t="str">
            <v>Manual Do Proprietário / Sindico</v>
          </cell>
          <cell r="E25">
            <v>1</v>
          </cell>
          <cell r="F25" t="str">
            <v>vb</v>
          </cell>
          <cell r="G25">
            <v>8000</v>
          </cell>
          <cell r="H25">
            <v>0</v>
          </cell>
          <cell r="I25" t="str">
            <v>01.001.002.006 - Manual Do Proprietário / Sindico</v>
          </cell>
          <cell r="J25" t="str">
            <v xml:space="preserve">2 - CUSTOS INDIRETOS </v>
          </cell>
          <cell r="K25" t="str">
            <v>2 - CUSTOS INDIRETOS 1.001.002.006</v>
          </cell>
          <cell r="L25">
            <v>8000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T25">
            <v>8000</v>
          </cell>
          <cell r="U25">
            <v>8000</v>
          </cell>
          <cell r="V25">
            <v>0</v>
          </cell>
        </row>
        <row r="26">
          <cell r="D26" t="str">
            <v>Taxas e Aprovações</v>
          </cell>
          <cell r="E26">
            <v>0</v>
          </cell>
          <cell r="F26" t="str">
            <v>vb</v>
          </cell>
          <cell r="G26">
            <v>0</v>
          </cell>
          <cell r="H26">
            <v>0</v>
          </cell>
          <cell r="I26" t="str">
            <v>01.001.002.007 - Taxas e Aprovações</v>
          </cell>
          <cell r="J26" t="str">
            <v xml:space="preserve">2 - CUSTOS INDIRETOS </v>
          </cell>
          <cell r="K26" t="str">
            <v>2 - CUSTOS INDIRETOS 1.001.002.007</v>
          </cell>
          <cell r="L26">
            <v>280.36</v>
          </cell>
          <cell r="N26">
            <v>280.36</v>
          </cell>
          <cell r="O26">
            <v>0</v>
          </cell>
          <cell r="P26">
            <v>0</v>
          </cell>
          <cell r="Q26">
            <v>0</v>
          </cell>
          <cell r="R26">
            <v>280.36</v>
          </cell>
          <cell r="T26">
            <v>0</v>
          </cell>
          <cell r="U26">
            <v>280.36</v>
          </cell>
          <cell r="V26">
            <v>0</v>
          </cell>
        </row>
        <row r="27">
          <cell r="D27" t="str">
            <v>Projeto Arquitetônico</v>
          </cell>
          <cell r="E27">
            <v>0</v>
          </cell>
          <cell r="F27" t="str">
            <v>vb</v>
          </cell>
          <cell r="G27">
            <v>0</v>
          </cell>
          <cell r="H27">
            <v>0</v>
          </cell>
          <cell r="I27" t="str">
            <v>01.001.002.008 - Projeto Arquitetônico</v>
          </cell>
          <cell r="J27" t="str">
            <v xml:space="preserve">2 - CUSTOS INDIRETOS </v>
          </cell>
          <cell r="K27" t="str">
            <v>2 - CUSTOS INDIRETOS 1.001.002.008</v>
          </cell>
          <cell r="L27">
            <v>69857.319999999992</v>
          </cell>
          <cell r="N27">
            <v>69857.319999999992</v>
          </cell>
          <cell r="O27">
            <v>0</v>
          </cell>
          <cell r="P27">
            <v>0</v>
          </cell>
          <cell r="Q27">
            <v>0</v>
          </cell>
          <cell r="R27">
            <v>69857.319999999992</v>
          </cell>
          <cell r="T27">
            <v>0</v>
          </cell>
          <cell r="U27">
            <v>69857.319999999992</v>
          </cell>
          <cell r="V27">
            <v>0</v>
          </cell>
        </row>
        <row r="28">
          <cell r="D28" t="str">
            <v>Estudo/Projeto de Impacto de Transito e Compensações/serviços</v>
          </cell>
          <cell r="E28">
            <v>0</v>
          </cell>
          <cell r="F28" t="str">
            <v>vb</v>
          </cell>
          <cell r="G28">
            <v>0</v>
          </cell>
          <cell r="H28">
            <v>0</v>
          </cell>
          <cell r="I28" t="str">
            <v>01.001.002.009 - Estudo/Projeto de Impacto de Transito e Compensações/serviços</v>
          </cell>
          <cell r="J28" t="str">
            <v xml:space="preserve">2 - CUSTOS INDIRETOS </v>
          </cell>
          <cell r="K28" t="str">
            <v>2 - CUSTOS INDIRETOS 1.001.002.009</v>
          </cell>
          <cell r="L28">
            <v>14500</v>
          </cell>
          <cell r="N28">
            <v>14500</v>
          </cell>
          <cell r="O28">
            <v>0</v>
          </cell>
          <cell r="P28">
            <v>0</v>
          </cell>
          <cell r="Q28">
            <v>0</v>
          </cell>
          <cell r="R28">
            <v>14500</v>
          </cell>
          <cell r="T28">
            <v>0</v>
          </cell>
          <cell r="U28">
            <v>14500</v>
          </cell>
          <cell r="V28">
            <v>0</v>
          </cell>
        </row>
        <row r="29">
          <cell r="D29" t="str">
            <v>Projeto Estrutural, Formas e Blocos estrutural</v>
          </cell>
          <cell r="E29">
            <v>0</v>
          </cell>
          <cell r="F29" t="str">
            <v>vb</v>
          </cell>
          <cell r="G29">
            <v>0</v>
          </cell>
          <cell r="H29">
            <v>0</v>
          </cell>
          <cell r="I29" t="str">
            <v>01.001.002.010 - Projeto Estrutural, Formas e Blocos estrutural</v>
          </cell>
          <cell r="J29" t="str">
            <v xml:space="preserve">2 - CUSTOS INDIRETOS </v>
          </cell>
          <cell r="K29" t="str">
            <v>2 - CUSTOS INDIRETOS 1.001.002.010</v>
          </cell>
          <cell r="L29">
            <v>58000</v>
          </cell>
          <cell r="N29">
            <v>58000</v>
          </cell>
          <cell r="O29">
            <v>0</v>
          </cell>
          <cell r="P29">
            <v>0</v>
          </cell>
          <cell r="Q29">
            <v>0</v>
          </cell>
          <cell r="R29">
            <v>58000</v>
          </cell>
          <cell r="T29">
            <v>0</v>
          </cell>
          <cell r="U29">
            <v>58000</v>
          </cell>
          <cell r="V29">
            <v>0</v>
          </cell>
        </row>
        <row r="30">
          <cell r="D30" t="str">
            <v>Projeto de Fundação e Contenção</v>
          </cell>
          <cell r="E30">
            <v>0</v>
          </cell>
          <cell r="F30" t="str">
            <v>vb</v>
          </cell>
          <cell r="G30">
            <v>0</v>
          </cell>
          <cell r="H30">
            <v>0</v>
          </cell>
          <cell r="I30" t="str">
            <v>01.001.002.011 - Projeto de Fundação e Contenção</v>
          </cell>
          <cell r="J30" t="str">
            <v xml:space="preserve">2 - CUSTOS INDIRETOS </v>
          </cell>
          <cell r="K30" t="str">
            <v>2 - CUSTOS INDIRETOS 1.001.002.011</v>
          </cell>
          <cell r="L30">
            <v>12800</v>
          </cell>
          <cell r="N30">
            <v>12800</v>
          </cell>
          <cell r="O30">
            <v>0</v>
          </cell>
          <cell r="P30">
            <v>0</v>
          </cell>
          <cell r="Q30">
            <v>0</v>
          </cell>
          <cell r="R30">
            <v>12800</v>
          </cell>
          <cell r="T30">
            <v>0</v>
          </cell>
          <cell r="U30">
            <v>12800</v>
          </cell>
          <cell r="V30">
            <v>0</v>
          </cell>
        </row>
        <row r="31">
          <cell r="D31" t="str">
            <v>Projetos de Instalações Elétricas, Iluminação, Hidrossanitário, Gás, Incêndio, SFTV, Climatização, Exaustão e Pressurização.</v>
          </cell>
          <cell r="E31">
            <v>0</v>
          </cell>
          <cell r="F31" t="str">
            <v>vb</v>
          </cell>
          <cell r="G31">
            <v>0</v>
          </cell>
          <cell r="H31">
            <v>0</v>
          </cell>
          <cell r="I31" t="str">
            <v>01.001.002.012 - Projetos de Instalações Elétricas, Iluminação, Hidrossanitário, Gás, Incêndio, SFTV, Climatização, Exaustão e Pressurização.</v>
          </cell>
          <cell r="J31" t="str">
            <v xml:space="preserve">2 - CUSTOS INDIRETOS </v>
          </cell>
          <cell r="K31" t="str">
            <v>2 - CUSTOS INDIRETOS 1.001.002.012</v>
          </cell>
          <cell r="L31">
            <v>183280.91</v>
          </cell>
          <cell r="N31">
            <v>119780.91</v>
          </cell>
          <cell r="O31">
            <v>1350</v>
          </cell>
          <cell r="P31">
            <v>0</v>
          </cell>
          <cell r="Q31">
            <v>0</v>
          </cell>
          <cell r="R31">
            <v>121130.91</v>
          </cell>
          <cell r="T31">
            <v>22999.98000000004</v>
          </cell>
          <cell r="U31">
            <v>144130.89000000004</v>
          </cell>
          <cell r="V31">
            <v>39150.01999999996</v>
          </cell>
        </row>
        <row r="32">
          <cell r="D32" t="str">
            <v>Projeto de Acustico, Térmico, Luminico</v>
          </cell>
          <cell r="E32">
            <v>0</v>
          </cell>
          <cell r="F32" t="str">
            <v>vb</v>
          </cell>
          <cell r="G32">
            <v>0</v>
          </cell>
          <cell r="H32">
            <v>0</v>
          </cell>
          <cell r="I32" t="str">
            <v>01.001.002.013 - Projeto de Acustico, Térmico, Luminico</v>
          </cell>
          <cell r="J32" t="str">
            <v xml:space="preserve">2 - CUSTOS INDIRETOS </v>
          </cell>
          <cell r="K32" t="str">
            <v>2 - CUSTOS INDIRETOS 1.001.002.013</v>
          </cell>
          <cell r="L32">
            <v>4000</v>
          </cell>
          <cell r="N32">
            <v>4000</v>
          </cell>
          <cell r="O32">
            <v>0</v>
          </cell>
          <cell r="P32">
            <v>0</v>
          </cell>
          <cell r="Q32">
            <v>0</v>
          </cell>
          <cell r="R32">
            <v>4000</v>
          </cell>
          <cell r="T32">
            <v>0</v>
          </cell>
          <cell r="U32">
            <v>4000</v>
          </cell>
          <cell r="V32">
            <v>0</v>
          </cell>
        </row>
        <row r="33">
          <cell r="D33" t="str">
            <v>Cópias e Reproduções de Projetos</v>
          </cell>
          <cell r="E33">
            <v>37</v>
          </cell>
          <cell r="F33" t="str">
            <v>mes</v>
          </cell>
          <cell r="G33">
            <v>11100</v>
          </cell>
          <cell r="H33">
            <v>0</v>
          </cell>
          <cell r="I33" t="str">
            <v>01.001.002.014 - Cópias e Reproduções de Projetos</v>
          </cell>
          <cell r="J33" t="str">
            <v xml:space="preserve">2 - CUSTOS INDIRETOS </v>
          </cell>
          <cell r="K33" t="str">
            <v>2 - CUSTOS INDIRETOS 1.001.002.014</v>
          </cell>
          <cell r="L33">
            <v>11100</v>
          </cell>
          <cell r="N33">
            <v>8658</v>
          </cell>
          <cell r="O33">
            <v>0</v>
          </cell>
          <cell r="P33">
            <v>3535.9</v>
          </cell>
          <cell r="Q33">
            <v>0</v>
          </cell>
          <cell r="R33">
            <v>12193.9</v>
          </cell>
          <cell r="T33">
            <v>0</v>
          </cell>
          <cell r="U33">
            <v>12193.9</v>
          </cell>
          <cell r="V33">
            <v>-1093.8999999999996</v>
          </cell>
        </row>
        <row r="34">
          <cell r="D34" t="str">
            <v>IMPLANTAÇÃO DA OBRA</v>
          </cell>
          <cell r="I34" t="str">
            <v>01.002 - IMPLANTAÇÃO DA OBRA</v>
          </cell>
          <cell r="J34" t="str">
            <v xml:space="preserve">2 - CUSTOS INDIRETOS </v>
          </cell>
          <cell r="K34" t="str">
            <v>2 - CUSTOS INDIRETOS 1.002</v>
          </cell>
          <cell r="L34">
            <v>541800</v>
          </cell>
          <cell r="N34">
            <v>458680.4800000001</v>
          </cell>
          <cell r="O34">
            <v>9336.2000000000007</v>
          </cell>
          <cell r="P34">
            <v>57455.7</v>
          </cell>
          <cell r="Q34">
            <v>270.5</v>
          </cell>
          <cell r="R34">
            <v>525742.88000000012</v>
          </cell>
          <cell r="T34">
            <v>82970.019999999975</v>
          </cell>
          <cell r="U34">
            <v>608712.90000000014</v>
          </cell>
          <cell r="V34">
            <v>-66912.90000000014</v>
          </cell>
        </row>
        <row r="35">
          <cell r="D35" t="str">
            <v>INSTALAÇÕES PROVISÓRIAS</v>
          </cell>
          <cell r="I35" t="str">
            <v>01.002.001 - INSTALAÇÕES PROVISÓRIAS</v>
          </cell>
          <cell r="J35" t="str">
            <v xml:space="preserve">2 - CUSTOS INDIRETOS </v>
          </cell>
          <cell r="K35" t="str">
            <v>2 - CUSTOS INDIRETOS 1.002.001</v>
          </cell>
          <cell r="L35">
            <v>212000</v>
          </cell>
          <cell r="N35">
            <v>206523.85000000003</v>
          </cell>
          <cell r="O35">
            <v>668</v>
          </cell>
          <cell r="P35">
            <v>15035</v>
          </cell>
          <cell r="Q35">
            <v>270.5</v>
          </cell>
          <cell r="R35">
            <v>222497.35000000003</v>
          </cell>
          <cell r="T35">
            <v>13202.86</v>
          </cell>
          <cell r="U35">
            <v>235700.21000000002</v>
          </cell>
          <cell r="V35">
            <v>-23700.210000000021</v>
          </cell>
        </row>
        <row r="36">
          <cell r="D36" t="str">
            <v>Canteiro De Obras</v>
          </cell>
          <cell r="E36">
            <v>1</v>
          </cell>
          <cell r="F36" t="str">
            <v>vb</v>
          </cell>
          <cell r="G36">
            <v>95000</v>
          </cell>
          <cell r="H36">
            <v>0</v>
          </cell>
          <cell r="I36" t="str">
            <v>01.002.001.001 - Canteiro De Obras</v>
          </cell>
          <cell r="J36" t="str">
            <v xml:space="preserve">2 - CUSTOS INDIRETOS </v>
          </cell>
          <cell r="K36" t="str">
            <v>2 - CUSTOS INDIRETOS 1.002.001.001</v>
          </cell>
          <cell r="L36">
            <v>95000</v>
          </cell>
          <cell r="N36">
            <v>128792.79000000001</v>
          </cell>
          <cell r="O36">
            <v>350</v>
          </cell>
          <cell r="P36">
            <v>10350</v>
          </cell>
          <cell r="Q36">
            <v>270.5</v>
          </cell>
          <cell r="R36">
            <v>139763.29</v>
          </cell>
          <cell r="T36">
            <v>0</v>
          </cell>
          <cell r="U36">
            <v>139763.29</v>
          </cell>
          <cell r="V36">
            <v>-44763.290000000008</v>
          </cell>
        </row>
        <row r="37">
          <cell r="D37" t="str">
            <v>Instalações Definitivas De Almoxarifado. Vestiário E Refeitório</v>
          </cell>
          <cell r="E37">
            <v>1</v>
          </cell>
          <cell r="F37" t="str">
            <v>vb</v>
          </cell>
          <cell r="G37">
            <v>30000</v>
          </cell>
          <cell r="H37">
            <v>0</v>
          </cell>
          <cell r="I37" t="str">
            <v>01.002.001.002 - Instalações Definitivas De Almoxarifado. Vestiário E Refeitório</v>
          </cell>
          <cell r="J37" t="str">
            <v xml:space="preserve">2 - CUSTOS INDIRETOS </v>
          </cell>
          <cell r="K37" t="str">
            <v>2 - CUSTOS INDIRETOS 1.002.001.002</v>
          </cell>
          <cell r="L37">
            <v>30000</v>
          </cell>
          <cell r="N37">
            <v>23526.849999999995</v>
          </cell>
          <cell r="O37">
            <v>0</v>
          </cell>
          <cell r="P37">
            <v>0</v>
          </cell>
          <cell r="Q37">
            <v>0</v>
          </cell>
          <cell r="R37">
            <v>23526.849999999995</v>
          </cell>
          <cell r="T37">
            <v>0</v>
          </cell>
          <cell r="U37">
            <v>23526.849999999995</v>
          </cell>
          <cell r="V37">
            <v>6473.1500000000051</v>
          </cell>
        </row>
        <row r="38">
          <cell r="D38" t="str">
            <v>Serviço De Alarme - Manutenção</v>
          </cell>
          <cell r="E38">
            <v>36</v>
          </cell>
          <cell r="F38" t="str">
            <v>mes</v>
          </cell>
          <cell r="G38">
            <v>18000</v>
          </cell>
          <cell r="H38">
            <v>0</v>
          </cell>
          <cell r="I38" t="str">
            <v>01.002.001.003 - Serviço De Alarme - Manutenção</v>
          </cell>
          <cell r="J38" t="str">
            <v xml:space="preserve">2 - CUSTOS INDIRETOS </v>
          </cell>
          <cell r="K38" t="str">
            <v>2 - CUSTOS INDIRETOS 1.002.001.003</v>
          </cell>
          <cell r="L38">
            <v>18000</v>
          </cell>
          <cell r="N38">
            <v>18439</v>
          </cell>
          <cell r="O38">
            <v>318</v>
          </cell>
          <cell r="P38">
            <v>4685</v>
          </cell>
          <cell r="Q38">
            <v>0</v>
          </cell>
          <cell r="R38">
            <v>23442</v>
          </cell>
          <cell r="T38">
            <v>0</v>
          </cell>
          <cell r="U38">
            <v>23442</v>
          </cell>
          <cell r="V38">
            <v>-5442</v>
          </cell>
        </row>
        <row r="39">
          <cell r="D39" t="str">
            <v>Manutenção De Tapume</v>
          </cell>
          <cell r="E39">
            <v>1</v>
          </cell>
          <cell r="F39" t="str">
            <v>vb</v>
          </cell>
          <cell r="G39">
            <v>5000</v>
          </cell>
          <cell r="H39">
            <v>0</v>
          </cell>
          <cell r="I39" t="str">
            <v>01.002.001.004 - Manutenção De Tapume</v>
          </cell>
          <cell r="J39" t="str">
            <v xml:space="preserve">2 - CUSTOS INDIRETOS </v>
          </cell>
          <cell r="K39" t="str">
            <v>2 - CUSTOS INDIRETOS 1.002.001.004</v>
          </cell>
          <cell r="L39">
            <v>5000</v>
          </cell>
          <cell r="N39">
            <v>2200</v>
          </cell>
          <cell r="O39">
            <v>0</v>
          </cell>
          <cell r="P39">
            <v>0</v>
          </cell>
          <cell r="Q39">
            <v>0</v>
          </cell>
          <cell r="R39">
            <v>2200</v>
          </cell>
          <cell r="T39">
            <v>2800</v>
          </cell>
          <cell r="U39">
            <v>5000</v>
          </cell>
          <cell r="V39">
            <v>0</v>
          </cell>
        </row>
        <row r="40">
          <cell r="D40" t="str">
            <v>Serviços De Canteiro</v>
          </cell>
          <cell r="E40">
            <v>1</v>
          </cell>
          <cell r="F40" t="str">
            <v>vb</v>
          </cell>
          <cell r="G40">
            <v>20000</v>
          </cell>
          <cell r="H40">
            <v>0</v>
          </cell>
          <cell r="I40" t="str">
            <v>01.002.001.005 - Serviços De Canteiro</v>
          </cell>
          <cell r="J40" t="str">
            <v xml:space="preserve">2 - CUSTOS INDIRETOS </v>
          </cell>
          <cell r="K40" t="str">
            <v>2 - CUSTOS INDIRETOS 1.002.001.005</v>
          </cell>
          <cell r="L40">
            <v>20000</v>
          </cell>
          <cell r="N40">
            <v>16885.14</v>
          </cell>
          <cell r="O40">
            <v>0</v>
          </cell>
          <cell r="P40">
            <v>0</v>
          </cell>
          <cell r="Q40">
            <v>0</v>
          </cell>
          <cell r="R40">
            <v>16885.14</v>
          </cell>
          <cell r="T40">
            <v>3114.8600000000006</v>
          </cell>
          <cell r="U40">
            <v>20000</v>
          </cell>
          <cell r="V40">
            <v>0</v>
          </cell>
        </row>
        <row r="41">
          <cell r="D41" t="str">
            <v>Calçada Externa Em Concreto (Manutenção)</v>
          </cell>
          <cell r="E41">
            <v>1</v>
          </cell>
          <cell r="F41" t="str">
            <v>vb</v>
          </cell>
          <cell r="G41">
            <v>5000</v>
          </cell>
          <cell r="H41">
            <v>0</v>
          </cell>
          <cell r="I41" t="str">
            <v>01.002.001.006 - Calçada Externa Em Concreto (Manutenção)</v>
          </cell>
          <cell r="J41" t="str">
            <v xml:space="preserve">2 - CUSTOS INDIRETOS </v>
          </cell>
          <cell r="K41" t="str">
            <v>2 - CUSTOS INDIRETOS 1.002.001.006</v>
          </cell>
          <cell r="L41">
            <v>5000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T41">
            <v>5000</v>
          </cell>
          <cell r="U41">
            <v>5000</v>
          </cell>
          <cell r="V41">
            <v>0</v>
          </cell>
        </row>
        <row r="42">
          <cell r="D42" t="str">
            <v>Serviço De Serralheria</v>
          </cell>
          <cell r="E42">
            <v>1</v>
          </cell>
          <cell r="F42" t="str">
            <v>vb</v>
          </cell>
          <cell r="G42">
            <v>30000</v>
          </cell>
          <cell r="H42">
            <v>0</v>
          </cell>
          <cell r="I42" t="str">
            <v>01.002.001.007 - Serviço De Serralheria</v>
          </cell>
          <cell r="J42" t="str">
            <v xml:space="preserve">2 - CUSTOS INDIRETOS </v>
          </cell>
          <cell r="K42" t="str">
            <v>2 - CUSTOS INDIRETOS 1.002.001.007</v>
          </cell>
          <cell r="L42">
            <v>30000</v>
          </cell>
          <cell r="N42">
            <v>11995</v>
          </cell>
          <cell r="O42">
            <v>0</v>
          </cell>
          <cell r="P42">
            <v>0</v>
          </cell>
          <cell r="Q42">
            <v>0</v>
          </cell>
          <cell r="R42">
            <v>11995</v>
          </cell>
          <cell r="T42">
            <v>0</v>
          </cell>
          <cell r="U42">
            <v>11995</v>
          </cell>
          <cell r="V42">
            <v>18005</v>
          </cell>
        </row>
        <row r="43">
          <cell r="D43" t="str">
            <v>Placas De Obras</v>
          </cell>
          <cell r="E43">
            <v>1</v>
          </cell>
          <cell r="F43" t="str">
            <v>vb</v>
          </cell>
          <cell r="G43">
            <v>9000</v>
          </cell>
          <cell r="H43">
            <v>0</v>
          </cell>
          <cell r="I43" t="str">
            <v>01.002.001.008 - Placas De Obras</v>
          </cell>
          <cell r="J43" t="str">
            <v xml:space="preserve">2 - CUSTOS INDIRETOS </v>
          </cell>
          <cell r="K43" t="str">
            <v>2 - CUSTOS INDIRETOS 1.002.001.008</v>
          </cell>
          <cell r="L43">
            <v>9000</v>
          </cell>
          <cell r="N43">
            <v>4685.07</v>
          </cell>
          <cell r="O43">
            <v>0</v>
          </cell>
          <cell r="P43">
            <v>0</v>
          </cell>
          <cell r="Q43">
            <v>0</v>
          </cell>
          <cell r="R43">
            <v>4685.07</v>
          </cell>
          <cell r="T43">
            <v>2288</v>
          </cell>
          <cell r="U43">
            <v>6973.07</v>
          </cell>
          <cell r="V43">
            <v>2026.9300000000003</v>
          </cell>
        </row>
        <row r="44">
          <cell r="D44" t="str">
            <v>CONSUMOS</v>
          </cell>
          <cell r="I44" t="str">
            <v>01.002.002 - CONSUMOS</v>
          </cell>
          <cell r="J44" t="str">
            <v xml:space="preserve">2 - CUSTOS INDIRETOS </v>
          </cell>
          <cell r="K44" t="str">
            <v>2 - CUSTOS INDIRETOS 1.002.002</v>
          </cell>
          <cell r="L44">
            <v>329800</v>
          </cell>
          <cell r="N44">
            <v>252156.63000000003</v>
          </cell>
          <cell r="O44">
            <v>8668.2000000000007</v>
          </cell>
          <cell r="P44">
            <v>42420.7</v>
          </cell>
          <cell r="Q44">
            <v>0</v>
          </cell>
          <cell r="R44">
            <v>303245.53000000003</v>
          </cell>
          <cell r="T44">
            <v>69767.159999999974</v>
          </cell>
          <cell r="U44">
            <v>373012.69</v>
          </cell>
          <cell r="V44">
            <v>-43212.69</v>
          </cell>
        </row>
        <row r="45">
          <cell r="D45" t="str">
            <v>Consumo Água/ Esgoto</v>
          </cell>
          <cell r="E45">
            <v>36</v>
          </cell>
          <cell r="F45" t="str">
            <v>mes</v>
          </cell>
          <cell r="G45">
            <v>18000</v>
          </cell>
          <cell r="H45">
            <v>0</v>
          </cell>
          <cell r="I45" t="str">
            <v>01.002.002.001 - Consumo Água/ Esgoto</v>
          </cell>
          <cell r="J45" t="str">
            <v xml:space="preserve">2 - CUSTOS INDIRETOS </v>
          </cell>
          <cell r="K45" t="str">
            <v>2 - CUSTOS INDIRETOS 1.002.002.001</v>
          </cell>
          <cell r="L45">
            <v>18000</v>
          </cell>
          <cell r="N45">
            <v>14622.52</v>
          </cell>
          <cell r="O45">
            <v>1807.74</v>
          </cell>
          <cell r="P45">
            <v>0</v>
          </cell>
          <cell r="Q45">
            <v>0</v>
          </cell>
          <cell r="R45">
            <v>16430.260000000002</v>
          </cell>
          <cell r="T45">
            <v>1569.739999999998</v>
          </cell>
          <cell r="U45">
            <v>18000</v>
          </cell>
          <cell r="V45">
            <v>0</v>
          </cell>
        </row>
        <row r="46">
          <cell r="D46" t="str">
            <v>Consumo De Energia Elétrica</v>
          </cell>
          <cell r="E46">
            <v>36</v>
          </cell>
          <cell r="F46" t="str">
            <v>mes</v>
          </cell>
          <cell r="G46">
            <v>72000</v>
          </cell>
          <cell r="H46">
            <v>0</v>
          </cell>
          <cell r="I46" t="str">
            <v>01.002.002.002 - Consumo De Energia Elétrica</v>
          </cell>
          <cell r="J46" t="str">
            <v xml:space="preserve">2 - CUSTOS INDIRETOS </v>
          </cell>
          <cell r="K46" t="str">
            <v>2 - CUSTOS INDIRETOS 1.002.002.002</v>
          </cell>
          <cell r="L46">
            <v>72000</v>
          </cell>
          <cell r="N46">
            <v>36258.329999999994</v>
          </cell>
          <cell r="O46">
            <v>4000</v>
          </cell>
          <cell r="P46">
            <v>0</v>
          </cell>
          <cell r="Q46">
            <v>0</v>
          </cell>
          <cell r="R46">
            <v>40258.329999999994</v>
          </cell>
          <cell r="T46">
            <v>11689.340000000004</v>
          </cell>
          <cell r="U46">
            <v>51947.67</v>
          </cell>
          <cell r="V46">
            <v>20052.330000000002</v>
          </cell>
        </row>
        <row r="47">
          <cell r="D47" t="str">
            <v>Consumo De Telefone / Internet</v>
          </cell>
          <cell r="E47">
            <v>36</v>
          </cell>
          <cell r="F47" t="str">
            <v>mes</v>
          </cell>
          <cell r="G47">
            <v>10800</v>
          </cell>
          <cell r="H47">
            <v>0</v>
          </cell>
          <cell r="I47" t="str">
            <v>01.002.002.003 - Consumo De Telefone / Internet</v>
          </cell>
          <cell r="J47" t="str">
            <v xml:space="preserve">2 - CUSTOS INDIRETOS </v>
          </cell>
          <cell r="K47" t="str">
            <v>2 - CUSTOS INDIRETOS 1.002.002.003</v>
          </cell>
          <cell r="L47">
            <v>10800</v>
          </cell>
          <cell r="N47">
            <v>4209.409999999998</v>
          </cell>
          <cell r="O47">
            <v>630.12</v>
          </cell>
          <cell r="P47">
            <v>0</v>
          </cell>
          <cell r="Q47">
            <v>0</v>
          </cell>
          <cell r="R47">
            <v>4839.5299999999979</v>
          </cell>
          <cell r="T47">
            <v>2400.0000000000009</v>
          </cell>
          <cell r="U47">
            <v>7239.5299999999988</v>
          </cell>
          <cell r="V47">
            <v>3560.4700000000012</v>
          </cell>
        </row>
        <row r="48">
          <cell r="D48" t="str">
            <v>Materiais De Limpeza</v>
          </cell>
          <cell r="E48">
            <v>36</v>
          </cell>
          <cell r="F48" t="str">
            <v>mes</v>
          </cell>
          <cell r="G48">
            <v>7200</v>
          </cell>
          <cell r="H48">
            <v>0</v>
          </cell>
          <cell r="I48" t="str">
            <v>01.002.002.004 - Materiais De Limpeza</v>
          </cell>
          <cell r="J48" t="str">
            <v xml:space="preserve">2 - CUSTOS INDIRETOS </v>
          </cell>
          <cell r="K48" t="str">
            <v>2 - CUSTOS INDIRETOS 1.002.002.004</v>
          </cell>
          <cell r="L48">
            <v>7200</v>
          </cell>
          <cell r="N48">
            <v>10503.29</v>
          </cell>
          <cell r="O48">
            <v>181.07999999999998</v>
          </cell>
          <cell r="P48">
            <v>0</v>
          </cell>
          <cell r="Q48">
            <v>0</v>
          </cell>
          <cell r="R48">
            <v>10684.37</v>
          </cell>
          <cell r="T48">
            <v>4155.5300000000007</v>
          </cell>
          <cell r="U48">
            <v>14839.900000000001</v>
          </cell>
          <cell r="V48">
            <v>-7639.9000000000015</v>
          </cell>
        </row>
        <row r="49">
          <cell r="D49" t="str">
            <v>Materiais De Expediente</v>
          </cell>
          <cell r="E49">
            <v>36</v>
          </cell>
          <cell r="F49" t="str">
            <v>mes</v>
          </cell>
          <cell r="G49">
            <v>7200</v>
          </cell>
          <cell r="H49">
            <v>0</v>
          </cell>
          <cell r="I49" t="str">
            <v>01.002.002.005 - Materiais De Expediente</v>
          </cell>
          <cell r="J49" t="str">
            <v xml:space="preserve">2 - CUSTOS INDIRETOS </v>
          </cell>
          <cell r="K49" t="str">
            <v>2 - CUSTOS INDIRETOS 1.002.002.005</v>
          </cell>
          <cell r="L49">
            <v>7200</v>
          </cell>
          <cell r="N49">
            <v>9700.5399999999991</v>
          </cell>
          <cell r="O49">
            <v>222.5</v>
          </cell>
          <cell r="P49">
            <v>0</v>
          </cell>
          <cell r="Q49">
            <v>0</v>
          </cell>
          <cell r="R49">
            <v>9923.0399999999991</v>
          </cell>
          <cell r="T49">
            <v>4726.6799999999985</v>
          </cell>
          <cell r="U49">
            <v>14649.719999999998</v>
          </cell>
          <cell r="V49">
            <v>-7449.7199999999975</v>
          </cell>
        </row>
        <row r="50">
          <cell r="D50" t="str">
            <v>Exames Admissionas / Demissionais E Periodicos</v>
          </cell>
          <cell r="E50">
            <v>36</v>
          </cell>
          <cell r="F50" t="str">
            <v>mes</v>
          </cell>
          <cell r="G50">
            <v>21600</v>
          </cell>
          <cell r="H50">
            <v>0</v>
          </cell>
          <cell r="I50" t="str">
            <v>01.002.002.006 - Exames Admissionas / Demissionais E Periodicos</v>
          </cell>
          <cell r="J50" t="str">
            <v xml:space="preserve">2 - CUSTOS INDIRETOS </v>
          </cell>
          <cell r="K50" t="str">
            <v>2 - CUSTOS INDIRETOS 1.002.002.006</v>
          </cell>
          <cell r="L50">
            <v>21600</v>
          </cell>
          <cell r="N50">
            <v>34452.160000000003</v>
          </cell>
          <cell r="O50">
            <v>66.680000000000007</v>
          </cell>
          <cell r="P50">
            <v>19884</v>
          </cell>
          <cell r="Q50">
            <v>0</v>
          </cell>
          <cell r="R50">
            <v>54402.840000000004</v>
          </cell>
          <cell r="T50">
            <v>0</v>
          </cell>
          <cell r="U50">
            <v>54402.840000000004</v>
          </cell>
          <cell r="V50">
            <v>-32802.840000000004</v>
          </cell>
        </row>
        <row r="51">
          <cell r="D51" t="str">
            <v>Frete E Transportes</v>
          </cell>
          <cell r="E51">
            <v>36</v>
          </cell>
          <cell r="F51" t="str">
            <v>mes</v>
          </cell>
          <cell r="G51">
            <v>36000</v>
          </cell>
          <cell r="H51">
            <v>0</v>
          </cell>
          <cell r="I51" t="str">
            <v>01.002.002.007 - Frete E Transportes</v>
          </cell>
          <cell r="J51" t="str">
            <v xml:space="preserve">2 - CUSTOS INDIRETOS </v>
          </cell>
          <cell r="K51" t="str">
            <v>2 - CUSTOS INDIRETOS 1.002.002.007</v>
          </cell>
          <cell r="L51">
            <v>36000</v>
          </cell>
          <cell r="N51">
            <v>23429.81</v>
          </cell>
          <cell r="O51">
            <v>0</v>
          </cell>
          <cell r="P51">
            <v>0</v>
          </cell>
          <cell r="Q51">
            <v>0</v>
          </cell>
          <cell r="R51">
            <v>23429.81</v>
          </cell>
          <cell r="T51">
            <v>0</v>
          </cell>
          <cell r="U51">
            <v>23429.81</v>
          </cell>
          <cell r="V51">
            <v>12570.189999999999</v>
          </cell>
        </row>
        <row r="52">
          <cell r="D52" t="str">
            <v>Pcmso - Programa De Controle Médico Na Saúde Ocupacional</v>
          </cell>
          <cell r="E52">
            <v>1</v>
          </cell>
          <cell r="F52" t="str">
            <v>vb</v>
          </cell>
          <cell r="G52">
            <v>4200</v>
          </cell>
          <cell r="H52">
            <v>0</v>
          </cell>
          <cell r="I52" t="str">
            <v>01.002.002.008 - Pcmso - Programa De Controle Médico Na Saúde Ocupacional</v>
          </cell>
          <cell r="J52" t="str">
            <v xml:space="preserve">2 - CUSTOS INDIRETOS </v>
          </cell>
          <cell r="K52" t="str">
            <v>2 - CUSTOS INDIRETOS 1.002.002.008</v>
          </cell>
          <cell r="L52">
            <v>4200</v>
          </cell>
          <cell r="N52">
            <v>1800</v>
          </cell>
          <cell r="O52">
            <v>0</v>
          </cell>
          <cell r="P52">
            <v>0</v>
          </cell>
          <cell r="Q52">
            <v>0</v>
          </cell>
          <cell r="R52">
            <v>1800</v>
          </cell>
          <cell r="T52">
            <v>2400</v>
          </cell>
          <cell r="U52">
            <v>4200</v>
          </cell>
          <cell r="V52">
            <v>0</v>
          </cell>
        </row>
        <row r="53">
          <cell r="D53" t="str">
            <v>Pcmat - Programa De Condições Do Meio Ambiente De Trabalho</v>
          </cell>
          <cell r="E53">
            <v>1</v>
          </cell>
          <cell r="F53" t="str">
            <v>vb</v>
          </cell>
          <cell r="G53">
            <v>3000</v>
          </cell>
          <cell r="H53">
            <v>0</v>
          </cell>
          <cell r="I53" t="str">
            <v>01.002.002.009 - Pcmat - Programa De Condições Do Meio Ambiente De Trabalho</v>
          </cell>
          <cell r="J53" t="str">
            <v xml:space="preserve">2 - CUSTOS INDIRETOS </v>
          </cell>
          <cell r="K53" t="str">
            <v>2 - CUSTOS INDIRETOS 1.002.002.009</v>
          </cell>
          <cell r="L53">
            <v>3000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T53">
            <v>3000</v>
          </cell>
          <cell r="U53">
            <v>3000</v>
          </cell>
          <cell r="V53">
            <v>0</v>
          </cell>
        </row>
        <row r="54">
          <cell r="D54" t="str">
            <v>Cursos E Treinamentos Diversos</v>
          </cell>
          <cell r="E54">
            <v>1</v>
          </cell>
          <cell r="F54" t="str">
            <v>vb</v>
          </cell>
          <cell r="G54">
            <v>15000</v>
          </cell>
          <cell r="H54">
            <v>0</v>
          </cell>
          <cell r="I54" t="str">
            <v>01.002.002.010 - Cursos E Treinamentos Diversos</v>
          </cell>
          <cell r="J54" t="str">
            <v xml:space="preserve">2 - CUSTOS INDIRETOS </v>
          </cell>
          <cell r="K54" t="str">
            <v>2 - CUSTOS INDIRETOS 1.002.002.010</v>
          </cell>
          <cell r="L54">
            <v>15000</v>
          </cell>
          <cell r="N54">
            <v>5279.56</v>
          </cell>
          <cell r="O54">
            <v>450</v>
          </cell>
          <cell r="P54">
            <v>0</v>
          </cell>
          <cell r="Q54">
            <v>0</v>
          </cell>
          <cell r="R54">
            <v>5729.56</v>
          </cell>
          <cell r="T54">
            <v>9270.4399999999987</v>
          </cell>
          <cell r="U54">
            <v>15000</v>
          </cell>
          <cell r="V54">
            <v>0</v>
          </cell>
        </row>
        <row r="55">
          <cell r="D55" t="str">
            <v>Seguro Obrigatório Dos Operários</v>
          </cell>
          <cell r="E55">
            <v>36</v>
          </cell>
          <cell r="F55" t="str">
            <v>mes</v>
          </cell>
          <cell r="G55">
            <v>16200</v>
          </cell>
          <cell r="H55">
            <v>0</v>
          </cell>
          <cell r="I55" t="str">
            <v>01.002.002.011 - Seguro Obrigatório Dos Operários</v>
          </cell>
          <cell r="J55" t="str">
            <v xml:space="preserve">2 - CUSTOS INDIRETOS </v>
          </cell>
          <cell r="K55" t="str">
            <v>2 - CUSTOS INDIRETOS 1.002.002.011</v>
          </cell>
          <cell r="L55">
            <v>16200</v>
          </cell>
          <cell r="N55">
            <v>6769.64</v>
          </cell>
          <cell r="O55">
            <v>0</v>
          </cell>
          <cell r="P55">
            <v>0</v>
          </cell>
          <cell r="Q55">
            <v>0</v>
          </cell>
          <cell r="R55">
            <v>6769.64</v>
          </cell>
          <cell r="T55">
            <v>9430.36</v>
          </cell>
          <cell r="U55">
            <v>16200</v>
          </cell>
          <cell r="V55">
            <v>0</v>
          </cell>
        </row>
        <row r="56">
          <cell r="D56" t="str">
            <v>Primeiros Socorros</v>
          </cell>
          <cell r="E56">
            <v>1</v>
          </cell>
          <cell r="F56" t="str">
            <v>vb</v>
          </cell>
          <cell r="G56">
            <v>10000</v>
          </cell>
          <cell r="H56">
            <v>0</v>
          </cell>
          <cell r="I56" t="str">
            <v>01.002.002.012 - Primeiros Socorros</v>
          </cell>
          <cell r="J56" t="str">
            <v xml:space="preserve">2 - CUSTOS INDIRETOS </v>
          </cell>
          <cell r="K56" t="str">
            <v>2 - CUSTOS INDIRETOS 1.002.002.012</v>
          </cell>
          <cell r="L56">
            <v>10000</v>
          </cell>
          <cell r="N56">
            <v>885.8900000000001</v>
          </cell>
          <cell r="O56">
            <v>0</v>
          </cell>
          <cell r="P56">
            <v>0</v>
          </cell>
          <cell r="Q56">
            <v>0</v>
          </cell>
          <cell r="R56">
            <v>885.8900000000001</v>
          </cell>
          <cell r="T56">
            <v>9114.11</v>
          </cell>
          <cell r="U56">
            <v>10000</v>
          </cell>
          <cell r="V56">
            <v>0</v>
          </cell>
        </row>
        <row r="57">
          <cell r="D57" t="str">
            <v>Plano De Gerenciamento De Resíduos</v>
          </cell>
          <cell r="E57">
            <v>36</v>
          </cell>
          <cell r="F57" t="str">
            <v>mes</v>
          </cell>
          <cell r="G57">
            <v>9000</v>
          </cell>
          <cell r="H57">
            <v>0</v>
          </cell>
          <cell r="I57" t="str">
            <v>01.002.002.013 - Plano De Gerenciamento De Resíduos</v>
          </cell>
          <cell r="J57" t="str">
            <v xml:space="preserve">2 - CUSTOS INDIRETOS </v>
          </cell>
          <cell r="K57" t="str">
            <v>2 - CUSTOS INDIRETOS 1.002.002.013</v>
          </cell>
          <cell r="L57">
            <v>9000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T57">
            <v>9000</v>
          </cell>
          <cell r="U57">
            <v>9000</v>
          </cell>
          <cell r="V57">
            <v>0</v>
          </cell>
        </row>
        <row r="58">
          <cell r="D58" t="str">
            <v>Sienge</v>
          </cell>
          <cell r="E58">
            <v>48</v>
          </cell>
          <cell r="F58" t="str">
            <v>mes</v>
          </cell>
          <cell r="G58">
            <v>58800</v>
          </cell>
          <cell r="H58">
            <v>0</v>
          </cell>
          <cell r="I58" t="str">
            <v>01.002.002.014 - Sienge</v>
          </cell>
          <cell r="J58" t="str">
            <v xml:space="preserve">2 - CUSTOS INDIRETOS </v>
          </cell>
          <cell r="K58" t="str">
            <v>2 - CUSTOS INDIRETOS 1.002.002.014</v>
          </cell>
          <cell r="L58">
            <v>58800</v>
          </cell>
          <cell r="N58">
            <v>55272.960000000043</v>
          </cell>
          <cell r="O58">
            <v>1310.08</v>
          </cell>
          <cell r="P58">
            <v>15586.47</v>
          </cell>
          <cell r="Q58">
            <v>0</v>
          </cell>
          <cell r="R58">
            <v>72169.510000000038</v>
          </cell>
          <cell r="T58">
            <v>3010.9599999999773</v>
          </cell>
          <cell r="U58">
            <v>75180.470000000016</v>
          </cell>
          <cell r="V58">
            <v>-16380.470000000016</v>
          </cell>
        </row>
        <row r="59">
          <cell r="D59" t="str">
            <v>Integração Business Intelligence</v>
          </cell>
          <cell r="E59">
            <v>48</v>
          </cell>
          <cell r="F59" t="str">
            <v>mes</v>
          </cell>
          <cell r="G59">
            <v>16800</v>
          </cell>
          <cell r="H59">
            <v>0</v>
          </cell>
          <cell r="I59" t="str">
            <v>01.002.002.015 - Integração Business Intelligence</v>
          </cell>
          <cell r="J59" t="str">
            <v xml:space="preserve">2 - CUSTOS INDIRETOS </v>
          </cell>
          <cell r="K59" t="str">
            <v>2 - CUSTOS INDIRETOS 1.002.002.015</v>
          </cell>
          <cell r="L59">
            <v>16800</v>
          </cell>
          <cell r="N59">
            <v>6000</v>
          </cell>
          <cell r="O59">
            <v>0</v>
          </cell>
          <cell r="P59">
            <v>0</v>
          </cell>
          <cell r="Q59">
            <v>0</v>
          </cell>
          <cell r="R59">
            <v>6000</v>
          </cell>
          <cell r="T59">
            <v>0</v>
          </cell>
          <cell r="U59">
            <v>6000</v>
          </cell>
          <cell r="V59">
            <v>10800</v>
          </cell>
        </row>
        <row r="60">
          <cell r="D60" t="str">
            <v xml:space="preserve">Gdol </v>
          </cell>
          <cell r="E60">
            <v>48</v>
          </cell>
          <cell r="F60" t="str">
            <v>mes</v>
          </cell>
          <cell r="G60">
            <v>24000</v>
          </cell>
          <cell r="H60">
            <v>0</v>
          </cell>
          <cell r="I60" t="str">
            <v xml:space="preserve">01.002.002.016 - Gdol </v>
          </cell>
          <cell r="J60" t="str">
            <v xml:space="preserve">2 - CUSTOS INDIRETOS </v>
          </cell>
          <cell r="K60" t="str">
            <v>2 - CUSTOS INDIRETOS 1.002.002.016</v>
          </cell>
          <cell r="L60">
            <v>24000</v>
          </cell>
          <cell r="N60">
            <v>42972.519999999968</v>
          </cell>
          <cell r="O60">
            <v>0</v>
          </cell>
          <cell r="P60">
            <v>6950.23</v>
          </cell>
          <cell r="Q60">
            <v>0</v>
          </cell>
          <cell r="R60">
            <v>49922.749999999971</v>
          </cell>
          <cell r="T60">
            <v>0</v>
          </cell>
          <cell r="U60">
            <v>49922.749999999971</v>
          </cell>
          <cell r="V60">
            <v>-25922.749999999971</v>
          </cell>
        </row>
        <row r="61">
          <cell r="D61" t="str">
            <v>EQUIPAMENTOS / FERRAMENTAS</v>
          </cell>
          <cell r="I61" t="str">
            <v>01.003 - EQUIPAMENTOS / FERRAMENTAS</v>
          </cell>
          <cell r="J61" t="str">
            <v xml:space="preserve">2 - CUSTOS INDIRETOS </v>
          </cell>
          <cell r="K61" t="str">
            <v>2 - CUSTOS INDIRETOS 1.003</v>
          </cell>
          <cell r="L61">
            <v>921807.4</v>
          </cell>
          <cell r="N61">
            <v>652166.56999999995</v>
          </cell>
          <cell r="O61">
            <v>13173.1</v>
          </cell>
          <cell r="P61">
            <v>128970.00000000001</v>
          </cell>
          <cell r="Q61">
            <v>2390.7600000000002</v>
          </cell>
          <cell r="R61">
            <v>796700.42999999993</v>
          </cell>
          <cell r="T61">
            <v>75366</v>
          </cell>
          <cell r="U61">
            <v>872066.42999999993</v>
          </cell>
          <cell r="V61">
            <v>49740.970000000088</v>
          </cell>
        </row>
        <row r="62">
          <cell r="D62" t="str">
            <v>EQUIPAMENTOS</v>
          </cell>
          <cell r="I62" t="str">
            <v>01.003.001 - EQUIPAMENTOS</v>
          </cell>
          <cell r="J62" t="str">
            <v xml:space="preserve">2 - CUSTOS INDIRETOS </v>
          </cell>
          <cell r="K62" t="str">
            <v>2 - CUSTOS INDIRETOS 1.003.001</v>
          </cell>
          <cell r="L62">
            <v>683792.8</v>
          </cell>
          <cell r="N62">
            <v>412984.54999999993</v>
          </cell>
          <cell r="O62">
            <v>10054</v>
          </cell>
          <cell r="P62">
            <v>128970.00000000001</v>
          </cell>
          <cell r="Q62">
            <v>0</v>
          </cell>
          <cell r="R62">
            <v>552008.54999999993</v>
          </cell>
          <cell r="T62">
            <v>149215.79</v>
          </cell>
          <cell r="U62">
            <v>701224.34</v>
          </cell>
          <cell r="V62">
            <v>-17431.539999999921</v>
          </cell>
        </row>
        <row r="63">
          <cell r="D63" t="str">
            <v>Andaime Metalico</v>
          </cell>
          <cell r="E63">
            <v>23</v>
          </cell>
          <cell r="F63" t="str">
            <v>mes</v>
          </cell>
          <cell r="G63">
            <v>16100</v>
          </cell>
          <cell r="H63">
            <v>0</v>
          </cell>
          <cell r="I63" t="str">
            <v>01.003.001.001 - Andaime Metalico</v>
          </cell>
          <cell r="J63" t="str">
            <v xml:space="preserve">2 - CUSTOS INDIRETOS </v>
          </cell>
          <cell r="K63" t="str">
            <v>2 - CUSTOS INDIRETOS 1.003.001.001</v>
          </cell>
          <cell r="L63">
            <v>16100</v>
          </cell>
          <cell r="N63">
            <v>26400</v>
          </cell>
          <cell r="O63">
            <v>2200</v>
          </cell>
          <cell r="P63">
            <v>0</v>
          </cell>
          <cell r="Q63">
            <v>0</v>
          </cell>
          <cell r="R63">
            <v>28600</v>
          </cell>
          <cell r="T63">
            <v>0</v>
          </cell>
          <cell r="U63">
            <v>28600</v>
          </cell>
          <cell r="V63">
            <v>-12500</v>
          </cell>
        </row>
        <row r="64">
          <cell r="D64" t="str">
            <v>Ar Condicionado</v>
          </cell>
          <cell r="E64">
            <v>3</v>
          </cell>
          <cell r="F64" t="str">
            <v>un</v>
          </cell>
          <cell r="G64">
            <v>7500</v>
          </cell>
          <cell r="H64">
            <v>0</v>
          </cell>
          <cell r="I64" t="str">
            <v>01.003.001.002 - Ar Condicionado</v>
          </cell>
          <cell r="J64" t="str">
            <v xml:space="preserve">2 - CUSTOS INDIRETOS </v>
          </cell>
          <cell r="K64" t="str">
            <v>2 - CUSTOS INDIRETOS 1.003.001.002</v>
          </cell>
          <cell r="L64">
            <v>7500</v>
          </cell>
          <cell r="N64">
            <v>142.25</v>
          </cell>
          <cell r="O64">
            <v>0</v>
          </cell>
          <cell r="P64">
            <v>0</v>
          </cell>
          <cell r="Q64">
            <v>0</v>
          </cell>
          <cell r="R64">
            <v>142.25</v>
          </cell>
          <cell r="T64">
            <v>1000</v>
          </cell>
          <cell r="U64">
            <v>1142.25</v>
          </cell>
          <cell r="V64">
            <v>6357.75</v>
          </cell>
        </row>
        <row r="65">
          <cell r="D65" t="str">
            <v>Balancinho Elétrico</v>
          </cell>
          <cell r="E65">
            <v>1</v>
          </cell>
          <cell r="F65" t="str">
            <v>vb</v>
          </cell>
          <cell r="G65">
            <v>114000</v>
          </cell>
          <cell r="H65">
            <v>0</v>
          </cell>
          <cell r="I65" t="str">
            <v>01.003.001.003 - Balancinho Elétrico</v>
          </cell>
          <cell r="J65" t="str">
            <v xml:space="preserve">2 - CUSTOS INDIRETOS </v>
          </cell>
          <cell r="K65" t="str">
            <v>2 - CUSTOS INDIRETOS 1.003.001.003</v>
          </cell>
          <cell r="L65">
            <v>114000</v>
          </cell>
          <cell r="N65">
            <v>21310.280000000002</v>
          </cell>
          <cell r="O65">
            <v>5080</v>
          </cell>
          <cell r="P65">
            <v>86678.74</v>
          </cell>
          <cell r="Q65">
            <v>0</v>
          </cell>
          <cell r="R65">
            <v>113069.02</v>
          </cell>
          <cell r="T65">
            <v>0</v>
          </cell>
          <cell r="U65">
            <v>113069.02</v>
          </cell>
          <cell r="V65">
            <v>930.97999999999593</v>
          </cell>
        </row>
        <row r="66">
          <cell r="D66" t="str">
            <v>Montagens De Balancinho</v>
          </cell>
          <cell r="E66">
            <v>1</v>
          </cell>
          <cell r="F66" t="str">
            <v>vb</v>
          </cell>
          <cell r="G66">
            <v>13000</v>
          </cell>
          <cell r="H66">
            <v>0</v>
          </cell>
          <cell r="I66" t="str">
            <v>01.003.001.004 - Montagens De Balancinho</v>
          </cell>
          <cell r="J66" t="str">
            <v xml:space="preserve">2 - CUSTOS INDIRETOS </v>
          </cell>
          <cell r="K66" t="str">
            <v>2 - CUSTOS INDIRETOS 1.003.001.004</v>
          </cell>
          <cell r="L66">
            <v>13000</v>
          </cell>
          <cell r="N66">
            <v>15705.93</v>
          </cell>
          <cell r="O66">
            <v>1424</v>
          </cell>
          <cell r="P66">
            <v>1.3</v>
          </cell>
          <cell r="Q66">
            <v>0</v>
          </cell>
          <cell r="R66">
            <v>17131.23</v>
          </cell>
          <cell r="T66">
            <v>0</v>
          </cell>
          <cell r="U66">
            <v>17131.23</v>
          </cell>
          <cell r="V66">
            <v>-4131.2299999999996</v>
          </cell>
        </row>
        <row r="67">
          <cell r="D67" t="str">
            <v>Deslocamento De Balancinho</v>
          </cell>
          <cell r="E67">
            <v>1</v>
          </cell>
          <cell r="F67" t="str">
            <v>vb</v>
          </cell>
          <cell r="G67">
            <v>10500</v>
          </cell>
          <cell r="H67">
            <v>0</v>
          </cell>
          <cell r="I67" t="str">
            <v>01.003.001.005 - Deslocamento De Balancinho</v>
          </cell>
          <cell r="J67" t="str">
            <v xml:space="preserve">2 - CUSTOS INDIRETOS </v>
          </cell>
          <cell r="K67" t="str">
            <v>2 - CUSTOS INDIRETOS 1.003.001.005</v>
          </cell>
          <cell r="L67">
            <v>10500</v>
          </cell>
          <cell r="N67">
            <v>9848.1</v>
          </cell>
          <cell r="O67">
            <v>0</v>
          </cell>
          <cell r="P67">
            <v>209.96</v>
          </cell>
          <cell r="Q67">
            <v>0</v>
          </cell>
          <cell r="R67">
            <v>10058.06</v>
          </cell>
          <cell r="T67">
            <v>441.94000000000051</v>
          </cell>
          <cell r="U67">
            <v>10500</v>
          </cell>
          <cell r="V67">
            <v>0</v>
          </cell>
        </row>
        <row r="68">
          <cell r="D68" t="str">
            <v>Bebedouro Elétrico (Jato Inclinado)</v>
          </cell>
          <cell r="E68">
            <v>4</v>
          </cell>
          <cell r="F68" t="str">
            <v>un</v>
          </cell>
          <cell r="G68">
            <v>7920</v>
          </cell>
          <cell r="H68">
            <v>0</v>
          </cell>
          <cell r="I68" t="str">
            <v>01.003.001.006 - Bebedouro Elétrico (Jato Inclinado)</v>
          </cell>
          <cell r="J68" t="str">
            <v xml:space="preserve">2 - CUSTOS INDIRETOS </v>
          </cell>
          <cell r="K68" t="str">
            <v>2 - CUSTOS INDIRETOS 1.003.001.006</v>
          </cell>
          <cell r="L68">
            <v>7920</v>
          </cell>
          <cell r="N68">
            <v>1670</v>
          </cell>
          <cell r="O68">
            <v>0</v>
          </cell>
          <cell r="P68">
            <v>0</v>
          </cell>
          <cell r="Q68">
            <v>0</v>
          </cell>
          <cell r="R68">
            <v>1670</v>
          </cell>
          <cell r="T68">
            <v>0</v>
          </cell>
          <cell r="U68">
            <v>1670</v>
          </cell>
          <cell r="V68">
            <v>6250</v>
          </cell>
        </row>
        <row r="69">
          <cell r="D69" t="str">
            <v>Bebedouro Elétrico (Industrial)</v>
          </cell>
          <cell r="E69">
            <v>1</v>
          </cell>
          <cell r="F69" t="str">
            <v>un</v>
          </cell>
          <cell r="G69">
            <v>1800</v>
          </cell>
          <cell r="H69">
            <v>0</v>
          </cell>
          <cell r="I69" t="str">
            <v>01.003.001.007 - Bebedouro Elétrico (Industrial)</v>
          </cell>
          <cell r="J69" t="str">
            <v xml:space="preserve">2 - CUSTOS INDIRETOS </v>
          </cell>
          <cell r="K69" t="str">
            <v>2 - CUSTOS INDIRETOS 1.003.001.007</v>
          </cell>
          <cell r="L69">
            <v>1800</v>
          </cell>
          <cell r="N69">
            <v>377</v>
          </cell>
          <cell r="O69">
            <v>0</v>
          </cell>
          <cell r="P69">
            <v>0</v>
          </cell>
          <cell r="Q69">
            <v>0</v>
          </cell>
          <cell r="R69">
            <v>377</v>
          </cell>
          <cell r="T69">
            <v>291</v>
          </cell>
          <cell r="U69">
            <v>668</v>
          </cell>
          <cell r="V69">
            <v>1132</v>
          </cell>
        </row>
        <row r="70">
          <cell r="D70" t="str">
            <v>Betoneira 400 Lt</v>
          </cell>
          <cell r="E70">
            <v>2</v>
          </cell>
          <cell r="F70" t="str">
            <v>un</v>
          </cell>
          <cell r="G70">
            <v>13600</v>
          </cell>
          <cell r="H70">
            <v>0</v>
          </cell>
          <cell r="I70" t="str">
            <v>01.003.001.008 - Betoneira 400 Lt</v>
          </cell>
          <cell r="J70" t="str">
            <v xml:space="preserve">2 - CUSTOS INDIRETOS </v>
          </cell>
          <cell r="K70" t="str">
            <v>2 - CUSTOS INDIRETOS 1.003.001.008</v>
          </cell>
          <cell r="L70">
            <v>13600</v>
          </cell>
          <cell r="N70">
            <v>30977.46</v>
          </cell>
          <cell r="O70">
            <v>0</v>
          </cell>
          <cell r="P70">
            <v>0</v>
          </cell>
          <cell r="Q70">
            <v>0</v>
          </cell>
          <cell r="R70">
            <v>30977.46</v>
          </cell>
          <cell r="T70">
            <v>0</v>
          </cell>
          <cell r="U70">
            <v>30977.46</v>
          </cell>
          <cell r="V70">
            <v>-17377.46</v>
          </cell>
        </row>
        <row r="71">
          <cell r="D71" t="str">
            <v>Compactador Manual Tipo Sapo (2 Unids)</v>
          </cell>
          <cell r="E71">
            <v>7</v>
          </cell>
          <cell r="F71" t="str">
            <v>mes</v>
          </cell>
          <cell r="G71">
            <v>10080</v>
          </cell>
          <cell r="H71">
            <v>0</v>
          </cell>
          <cell r="I71" t="str">
            <v>01.003.001.009 - Compactador Manual Tipo Sapo (2 Unids)</v>
          </cell>
          <cell r="J71" t="str">
            <v xml:space="preserve">2 - CUSTOS INDIRETOS </v>
          </cell>
          <cell r="K71" t="str">
            <v>2 - CUSTOS INDIRETOS 1.003.001.009</v>
          </cell>
          <cell r="L71">
            <v>10080</v>
          </cell>
          <cell r="N71">
            <v>300</v>
          </cell>
          <cell r="O71">
            <v>0</v>
          </cell>
          <cell r="P71">
            <v>0</v>
          </cell>
          <cell r="Q71">
            <v>0</v>
          </cell>
          <cell r="R71">
            <v>300</v>
          </cell>
          <cell r="T71">
            <v>5000</v>
          </cell>
          <cell r="U71">
            <v>5300</v>
          </cell>
          <cell r="V71">
            <v>4780</v>
          </cell>
        </row>
        <row r="72">
          <cell r="D72" t="str">
            <v>Locação De Cremalheira</v>
          </cell>
          <cell r="E72">
            <v>44</v>
          </cell>
          <cell r="F72" t="str">
            <v>vb</v>
          </cell>
          <cell r="G72">
            <v>352000</v>
          </cell>
          <cell r="H72">
            <v>0</v>
          </cell>
          <cell r="I72" t="str">
            <v>01.003.001.010 - Locação De Cremalheira</v>
          </cell>
          <cell r="J72" t="str">
            <v xml:space="preserve">2 - CUSTOS INDIRETOS </v>
          </cell>
          <cell r="K72" t="str">
            <v>2 - CUSTOS INDIRETOS 1.003.001.010</v>
          </cell>
          <cell r="L72">
            <v>352000</v>
          </cell>
          <cell r="N72">
            <v>173600.25999999998</v>
          </cell>
          <cell r="O72">
            <v>0</v>
          </cell>
          <cell r="P72">
            <v>37400</v>
          </cell>
          <cell r="Q72">
            <v>0</v>
          </cell>
          <cell r="R72">
            <v>211000.25999999998</v>
          </cell>
          <cell r="T72">
            <v>140999.74000000002</v>
          </cell>
          <cell r="U72">
            <v>352000</v>
          </cell>
          <cell r="V72">
            <v>0</v>
          </cell>
        </row>
        <row r="73">
          <cell r="D73" t="str">
            <v>Mini Grua</v>
          </cell>
          <cell r="E73">
            <v>0</v>
          </cell>
          <cell r="F73" t="str">
            <v>vb</v>
          </cell>
          <cell r="G73">
            <v>0</v>
          </cell>
          <cell r="H73">
            <v>0</v>
          </cell>
          <cell r="I73" t="str">
            <v>01.003.001.011 - Mini Grua</v>
          </cell>
          <cell r="J73" t="str">
            <v xml:space="preserve">2 - CUSTOS INDIRETOS </v>
          </cell>
          <cell r="K73" t="str">
            <v>2 - CUSTOS INDIRETOS 1.003.001.011</v>
          </cell>
          <cell r="L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D74" t="str">
            <v>Lavadoura Vap</v>
          </cell>
          <cell r="E74">
            <v>3</v>
          </cell>
          <cell r="F74" t="str">
            <v>un</v>
          </cell>
          <cell r="G74">
            <v>3000</v>
          </cell>
          <cell r="H74">
            <v>0</v>
          </cell>
          <cell r="I74" t="str">
            <v>01.003.001.012 - Lavadoura Vap</v>
          </cell>
          <cell r="J74" t="str">
            <v xml:space="preserve">2 - CUSTOS INDIRETOS </v>
          </cell>
          <cell r="K74" t="str">
            <v>2 - CUSTOS INDIRETOS 1.003.001.012</v>
          </cell>
          <cell r="L74">
            <v>3000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V74">
            <v>3000</v>
          </cell>
        </row>
        <row r="75">
          <cell r="D75" t="str">
            <v>Motor Vibrador Para Concreto</v>
          </cell>
          <cell r="E75">
            <v>19</v>
          </cell>
          <cell r="F75" t="str">
            <v>mes</v>
          </cell>
          <cell r="G75">
            <v>17100</v>
          </cell>
          <cell r="H75">
            <v>0</v>
          </cell>
          <cell r="I75" t="str">
            <v>01.003.001.013 - Motor Vibrador Para Concreto</v>
          </cell>
          <cell r="J75" t="str">
            <v xml:space="preserve">2 - CUSTOS INDIRETOS </v>
          </cell>
          <cell r="K75" t="str">
            <v>2 - CUSTOS INDIRETOS 1.003.001.013</v>
          </cell>
          <cell r="L75">
            <v>17100</v>
          </cell>
          <cell r="N75">
            <v>3625.12</v>
          </cell>
          <cell r="O75">
            <v>0</v>
          </cell>
          <cell r="P75">
            <v>0</v>
          </cell>
          <cell r="Q75">
            <v>0</v>
          </cell>
          <cell r="R75">
            <v>3625.12</v>
          </cell>
          <cell r="T75">
            <v>0</v>
          </cell>
          <cell r="U75">
            <v>3625.12</v>
          </cell>
          <cell r="V75">
            <v>13474.880000000001</v>
          </cell>
        </row>
        <row r="76">
          <cell r="D76" t="str">
            <v>Serra Circular De Bancada</v>
          </cell>
          <cell r="E76">
            <v>1</v>
          </cell>
          <cell r="F76" t="str">
            <v>un</v>
          </cell>
          <cell r="G76">
            <v>3796.8</v>
          </cell>
          <cell r="H76">
            <v>0</v>
          </cell>
          <cell r="I76" t="str">
            <v>01.003.001.014 - Serra Circular De Bancada</v>
          </cell>
          <cell r="J76" t="str">
            <v xml:space="preserve">2 - CUSTOS INDIRETOS </v>
          </cell>
          <cell r="K76" t="str">
            <v>2 - CUSTOS INDIRETOS 1.003.001.014</v>
          </cell>
          <cell r="L76">
            <v>3796.8</v>
          </cell>
          <cell r="N76">
            <v>5180</v>
          </cell>
          <cell r="O76">
            <v>0</v>
          </cell>
          <cell r="P76">
            <v>0</v>
          </cell>
          <cell r="Q76">
            <v>0</v>
          </cell>
          <cell r="R76">
            <v>5180</v>
          </cell>
          <cell r="T76">
            <v>0</v>
          </cell>
          <cell r="U76">
            <v>5180</v>
          </cell>
          <cell r="V76">
            <v>-1383.1999999999998</v>
          </cell>
        </row>
        <row r="77">
          <cell r="D77" t="str">
            <v>Serra Circular Manual</v>
          </cell>
          <cell r="E77">
            <v>1</v>
          </cell>
          <cell r="F77" t="str">
            <v>un</v>
          </cell>
          <cell r="G77">
            <v>840</v>
          </cell>
          <cell r="H77">
            <v>0</v>
          </cell>
          <cell r="I77" t="str">
            <v>01.003.001.015 - Serra Circular Manual</v>
          </cell>
          <cell r="J77" t="str">
            <v xml:space="preserve">2 - CUSTOS INDIRETOS </v>
          </cell>
          <cell r="K77" t="str">
            <v>2 - CUSTOS INDIRETOS 1.003.001.015</v>
          </cell>
          <cell r="L77">
            <v>840</v>
          </cell>
          <cell r="N77">
            <v>1350</v>
          </cell>
          <cell r="O77">
            <v>0</v>
          </cell>
          <cell r="P77">
            <v>0</v>
          </cell>
          <cell r="Q77">
            <v>0</v>
          </cell>
          <cell r="R77">
            <v>1350</v>
          </cell>
          <cell r="T77">
            <v>0</v>
          </cell>
          <cell r="U77">
            <v>1350</v>
          </cell>
          <cell r="V77">
            <v>-510</v>
          </cell>
        </row>
        <row r="78">
          <cell r="D78" t="str">
            <v>Empilhadeira Com Operador</v>
          </cell>
          <cell r="E78">
            <v>4</v>
          </cell>
          <cell r="F78" t="str">
            <v>mes</v>
          </cell>
          <cell r="G78">
            <v>23600</v>
          </cell>
          <cell r="H78">
            <v>0</v>
          </cell>
          <cell r="I78" t="str">
            <v>01.003.001.016 - Empilhadeira Com Operador</v>
          </cell>
          <cell r="J78" t="str">
            <v xml:space="preserve">2 - CUSTOS INDIRETOS </v>
          </cell>
          <cell r="K78" t="str">
            <v>2 - CUSTOS INDIRETOS 1.003.001.016</v>
          </cell>
          <cell r="L78">
            <v>23600</v>
          </cell>
          <cell r="N78">
            <v>5350</v>
          </cell>
          <cell r="O78">
            <v>0</v>
          </cell>
          <cell r="P78">
            <v>4680.0000000000009</v>
          </cell>
          <cell r="Q78">
            <v>0</v>
          </cell>
          <cell r="R78">
            <v>10030</v>
          </cell>
          <cell r="T78">
            <v>0</v>
          </cell>
          <cell r="U78">
            <v>10030</v>
          </cell>
          <cell r="V78">
            <v>13570</v>
          </cell>
        </row>
        <row r="79">
          <cell r="D79" t="str">
            <v>Manutenção E Reforma De Equipamentos</v>
          </cell>
          <cell r="E79">
            <v>1</v>
          </cell>
          <cell r="F79" t="str">
            <v>vb</v>
          </cell>
          <cell r="G79">
            <v>20000</v>
          </cell>
          <cell r="H79">
            <v>0</v>
          </cell>
          <cell r="I79" t="str">
            <v>01.003.001.017 - Manutenção E Reforma De Equipamentos</v>
          </cell>
          <cell r="J79" t="str">
            <v xml:space="preserve">2 - CUSTOS INDIRETOS </v>
          </cell>
          <cell r="K79" t="str">
            <v>2 - CUSTOS INDIRETOS 1.003.001.017</v>
          </cell>
          <cell r="L79">
            <v>20000</v>
          </cell>
          <cell r="N79">
            <v>36697.68</v>
          </cell>
          <cell r="O79">
            <v>0</v>
          </cell>
          <cell r="P79">
            <v>0</v>
          </cell>
          <cell r="Q79">
            <v>0</v>
          </cell>
          <cell r="R79">
            <v>36697.68</v>
          </cell>
          <cell r="T79">
            <v>0</v>
          </cell>
          <cell r="U79">
            <v>36697.68</v>
          </cell>
          <cell r="V79">
            <v>-16697.68</v>
          </cell>
        </row>
        <row r="80">
          <cell r="D80" t="str">
            <v>Aluguel De Outros Equipamentos E Máquinas</v>
          </cell>
          <cell r="E80">
            <v>1</v>
          </cell>
          <cell r="F80" t="str">
            <v>vb</v>
          </cell>
          <cell r="G80">
            <v>30000</v>
          </cell>
          <cell r="H80">
            <v>0</v>
          </cell>
          <cell r="I80" t="str">
            <v>01.003.001.018 - Aluguel De Outros Equipamentos E Máquinas</v>
          </cell>
          <cell r="J80" t="str">
            <v xml:space="preserve">2 - CUSTOS INDIRETOS </v>
          </cell>
          <cell r="K80" t="str">
            <v>2 - CUSTOS INDIRETOS 1.003.001.018</v>
          </cell>
          <cell r="L80">
            <v>30000</v>
          </cell>
          <cell r="N80">
            <v>71330.709999999992</v>
          </cell>
          <cell r="O80">
            <v>1350</v>
          </cell>
          <cell r="P80">
            <v>0</v>
          </cell>
          <cell r="Q80">
            <v>0</v>
          </cell>
          <cell r="R80">
            <v>72680.709999999992</v>
          </cell>
          <cell r="T80">
            <v>0</v>
          </cell>
          <cell r="U80">
            <v>72680.709999999992</v>
          </cell>
          <cell r="V80">
            <v>-42680.709999999992</v>
          </cell>
        </row>
        <row r="81">
          <cell r="D81" t="str">
            <v>Ponto Eletrônico</v>
          </cell>
          <cell r="E81">
            <v>1</v>
          </cell>
          <cell r="F81" t="str">
            <v>un</v>
          </cell>
          <cell r="G81">
            <v>1500</v>
          </cell>
          <cell r="H81">
            <v>0</v>
          </cell>
          <cell r="I81" t="str">
            <v>01.003.001.019 - Ponto Eletrônico</v>
          </cell>
          <cell r="J81" t="str">
            <v xml:space="preserve">2 - CUSTOS INDIRETOS </v>
          </cell>
          <cell r="K81" t="str">
            <v>2 - CUSTOS INDIRETOS 1.003.001.019</v>
          </cell>
          <cell r="L81">
            <v>1500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T81">
            <v>0</v>
          </cell>
          <cell r="U81">
            <v>0</v>
          </cell>
          <cell r="V81">
            <v>1500</v>
          </cell>
        </row>
        <row r="82">
          <cell r="D82" t="str">
            <v>Combustíveis E Lubrificantes</v>
          </cell>
          <cell r="E82">
            <v>35</v>
          </cell>
          <cell r="F82" t="str">
            <v>mes</v>
          </cell>
          <cell r="G82">
            <v>17500</v>
          </cell>
          <cell r="H82">
            <v>0</v>
          </cell>
          <cell r="I82" t="str">
            <v>01.003.001.020 - Combustíveis E Lubrificantes</v>
          </cell>
          <cell r="J82" t="str">
            <v xml:space="preserve">2 - CUSTOS INDIRETOS </v>
          </cell>
          <cell r="K82" t="str">
            <v>2 - CUSTOS INDIRETOS 1.003.001.020</v>
          </cell>
          <cell r="L82">
            <v>17500</v>
          </cell>
          <cell r="N82">
            <v>710.81</v>
          </cell>
          <cell r="O82">
            <v>0</v>
          </cell>
          <cell r="P82">
            <v>0</v>
          </cell>
          <cell r="Q82">
            <v>0</v>
          </cell>
          <cell r="R82">
            <v>710.81</v>
          </cell>
          <cell r="T82">
            <v>1483.1100000000001</v>
          </cell>
          <cell r="U82">
            <v>2193.92</v>
          </cell>
          <cell r="V82">
            <v>15306.08</v>
          </cell>
        </row>
        <row r="83">
          <cell r="D83" t="str">
            <v>Martelete (Rompedor) - 30 Kg</v>
          </cell>
          <cell r="E83">
            <v>10</v>
          </cell>
          <cell r="F83" t="str">
            <v>mes</v>
          </cell>
          <cell r="G83">
            <v>3000</v>
          </cell>
          <cell r="H83">
            <v>0</v>
          </cell>
          <cell r="I83" t="str">
            <v>01.003.001.021 - Martelete (Rompedor) - 30 Kg</v>
          </cell>
          <cell r="J83" t="str">
            <v xml:space="preserve">2 - CUSTOS INDIRETOS </v>
          </cell>
          <cell r="K83" t="str">
            <v>2 - CUSTOS INDIRETOS 1.003.001.021</v>
          </cell>
          <cell r="L83">
            <v>3000</v>
          </cell>
          <cell r="N83">
            <v>5098</v>
          </cell>
          <cell r="O83">
            <v>0</v>
          </cell>
          <cell r="P83">
            <v>0</v>
          </cell>
          <cell r="Q83">
            <v>0</v>
          </cell>
          <cell r="R83">
            <v>5098</v>
          </cell>
          <cell r="T83">
            <v>0</v>
          </cell>
          <cell r="U83">
            <v>5098</v>
          </cell>
          <cell r="V83">
            <v>-2098</v>
          </cell>
        </row>
        <row r="84">
          <cell r="D84" t="str">
            <v>Furadeira Industrial</v>
          </cell>
          <cell r="E84">
            <v>3</v>
          </cell>
          <cell r="F84" t="str">
            <v>un</v>
          </cell>
          <cell r="G84">
            <v>4500</v>
          </cell>
          <cell r="H84">
            <v>0</v>
          </cell>
          <cell r="I84" t="str">
            <v>01.003.001.022 - Furadeira Industrial</v>
          </cell>
          <cell r="J84" t="str">
            <v xml:space="preserve">2 - CUSTOS INDIRETOS </v>
          </cell>
          <cell r="K84" t="str">
            <v>2 - CUSTOS INDIRETOS 1.003.001.022</v>
          </cell>
          <cell r="L84">
            <v>4500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T84">
            <v>0</v>
          </cell>
          <cell r="U84">
            <v>0</v>
          </cell>
          <cell r="V84">
            <v>4500</v>
          </cell>
        </row>
        <row r="85">
          <cell r="D85" t="str">
            <v>Alicate De Pressão Para Nivelador De Piso</v>
          </cell>
          <cell r="E85">
            <v>6</v>
          </cell>
          <cell r="F85" t="str">
            <v>un</v>
          </cell>
          <cell r="G85">
            <v>480</v>
          </cell>
          <cell r="H85">
            <v>0</v>
          </cell>
          <cell r="I85" t="str">
            <v>01.003.001.023 - Alicate De Pressão Para Nivelador De Piso</v>
          </cell>
          <cell r="J85" t="str">
            <v xml:space="preserve">2 - CUSTOS INDIRETOS </v>
          </cell>
          <cell r="K85" t="str">
            <v>2 - CUSTOS INDIRETOS 1.003.001.023</v>
          </cell>
          <cell r="L85">
            <v>480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T85">
            <v>0</v>
          </cell>
          <cell r="U85">
            <v>0</v>
          </cell>
          <cell r="V85">
            <v>480</v>
          </cell>
        </row>
        <row r="86">
          <cell r="D86" t="str">
            <v>Nivel Alemão</v>
          </cell>
          <cell r="E86">
            <v>1</v>
          </cell>
          <cell r="F86" t="str">
            <v>un</v>
          </cell>
          <cell r="G86">
            <v>180</v>
          </cell>
          <cell r="H86">
            <v>0</v>
          </cell>
          <cell r="I86" t="str">
            <v>01.003.001.024 - Nivel Alemão</v>
          </cell>
          <cell r="J86" t="str">
            <v xml:space="preserve">2 - CUSTOS INDIRETOS </v>
          </cell>
          <cell r="K86" t="str">
            <v>2 - CUSTOS INDIRETOS 1.003.001.024</v>
          </cell>
          <cell r="L86">
            <v>180</v>
          </cell>
          <cell r="N86">
            <v>130.94999999999999</v>
          </cell>
          <cell r="O86">
            <v>0</v>
          </cell>
          <cell r="P86">
            <v>0</v>
          </cell>
          <cell r="Q86">
            <v>0</v>
          </cell>
          <cell r="R86">
            <v>130.94999999999999</v>
          </cell>
          <cell r="T86">
            <v>0</v>
          </cell>
          <cell r="U86">
            <v>130.94999999999999</v>
          </cell>
          <cell r="V86">
            <v>49.050000000000011</v>
          </cell>
        </row>
        <row r="87">
          <cell r="D87" t="str">
            <v>Nivel Laser</v>
          </cell>
          <cell r="E87">
            <v>1</v>
          </cell>
          <cell r="F87" t="str">
            <v>un</v>
          </cell>
          <cell r="G87">
            <v>2496</v>
          </cell>
          <cell r="H87">
            <v>0</v>
          </cell>
          <cell r="I87" t="str">
            <v>01.003.001.025 - Nivel Laser</v>
          </cell>
          <cell r="J87" t="str">
            <v xml:space="preserve">2 - CUSTOS INDIRETOS </v>
          </cell>
          <cell r="K87" t="str">
            <v>2 - CUSTOS INDIRETOS 1.003.001.025</v>
          </cell>
          <cell r="L87">
            <v>2496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T87">
            <v>0</v>
          </cell>
          <cell r="U87">
            <v>0</v>
          </cell>
          <cell r="V87">
            <v>2496</v>
          </cell>
        </row>
        <row r="88">
          <cell r="D88" t="str">
            <v>Pistola Finca Pino</v>
          </cell>
          <cell r="E88">
            <v>1</v>
          </cell>
          <cell r="F88" t="str">
            <v>un</v>
          </cell>
          <cell r="G88">
            <v>1320</v>
          </cell>
          <cell r="H88">
            <v>0</v>
          </cell>
          <cell r="I88" t="str">
            <v>01.003.001.026 - Pistola Finca Pino</v>
          </cell>
          <cell r="J88" t="str">
            <v xml:space="preserve">2 - CUSTOS INDIRETOS </v>
          </cell>
          <cell r="K88" t="str">
            <v>2 - CUSTOS INDIRETOS 1.003.001.026</v>
          </cell>
          <cell r="L88">
            <v>1320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T88">
            <v>0</v>
          </cell>
          <cell r="U88">
            <v>0</v>
          </cell>
          <cell r="V88">
            <v>1320</v>
          </cell>
        </row>
        <row r="89">
          <cell r="D89" t="str">
            <v>Policorte</v>
          </cell>
          <cell r="E89">
            <v>1</v>
          </cell>
          <cell r="F89" t="str">
            <v>un</v>
          </cell>
          <cell r="G89">
            <v>3180</v>
          </cell>
          <cell r="H89">
            <v>0</v>
          </cell>
          <cell r="I89" t="str">
            <v>01.003.001.027 - Policorte</v>
          </cell>
          <cell r="J89" t="str">
            <v xml:space="preserve">2 - CUSTOS INDIRETOS </v>
          </cell>
          <cell r="K89" t="str">
            <v>2 - CUSTOS INDIRETOS 1.003.001.027</v>
          </cell>
          <cell r="L89">
            <v>3180</v>
          </cell>
          <cell r="N89">
            <v>3180</v>
          </cell>
          <cell r="O89">
            <v>0</v>
          </cell>
          <cell r="P89">
            <v>0</v>
          </cell>
          <cell r="Q89">
            <v>0</v>
          </cell>
          <cell r="R89">
            <v>3180</v>
          </cell>
          <cell r="T89">
            <v>0</v>
          </cell>
          <cell r="U89">
            <v>3180</v>
          </cell>
          <cell r="V89">
            <v>0</v>
          </cell>
        </row>
        <row r="90">
          <cell r="D90" t="str">
            <v>Rádio Comunicação Interna</v>
          </cell>
          <cell r="E90">
            <v>6</v>
          </cell>
          <cell r="F90" t="str">
            <v>un</v>
          </cell>
          <cell r="G90">
            <v>4800</v>
          </cell>
          <cell r="H90">
            <v>0</v>
          </cell>
          <cell r="I90" t="str">
            <v>01.003.001.028 - Rádio Comunicação Interna</v>
          </cell>
          <cell r="J90" t="str">
            <v xml:space="preserve">2 - CUSTOS INDIRETOS </v>
          </cell>
          <cell r="K90" t="str">
            <v>2 - CUSTOS INDIRETOS 1.003.001.028</v>
          </cell>
          <cell r="L90">
            <v>4800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T90">
            <v>0</v>
          </cell>
          <cell r="U90">
            <v>0</v>
          </cell>
          <cell r="V90">
            <v>4800</v>
          </cell>
        </row>
        <row r="91">
          <cell r="D91" t="str">
            <v>FERRAMENTAS</v>
          </cell>
          <cell r="I91" t="str">
            <v>01.003.002 - FERRAMENTAS</v>
          </cell>
          <cell r="J91" t="str">
            <v xml:space="preserve">2 - CUSTOS INDIRETOS </v>
          </cell>
          <cell r="K91" t="str">
            <v>2 - CUSTOS INDIRETOS 1.003.002</v>
          </cell>
          <cell r="L91">
            <v>30000</v>
          </cell>
          <cell r="N91">
            <v>70724.809999999983</v>
          </cell>
          <cell r="O91">
            <v>852.16000000000008</v>
          </cell>
          <cell r="P91">
            <v>0</v>
          </cell>
          <cell r="Q91">
            <v>1277.5</v>
          </cell>
          <cell r="R91">
            <v>72854.469999999987</v>
          </cell>
          <cell r="T91">
            <v>-50998.128999999986</v>
          </cell>
          <cell r="U91">
            <v>21856.341</v>
          </cell>
          <cell r="V91">
            <v>8143.6589999999997</v>
          </cell>
        </row>
        <row r="92">
          <cell r="D92" t="str">
            <v>Ferramentas Em Geral</v>
          </cell>
          <cell r="E92">
            <v>1</v>
          </cell>
          <cell r="F92" t="str">
            <v>vb</v>
          </cell>
          <cell r="G92">
            <v>30000</v>
          </cell>
          <cell r="H92">
            <v>0</v>
          </cell>
          <cell r="I92" t="str">
            <v>01.003.002.001 - Ferramentas Em Geral</v>
          </cell>
          <cell r="J92" t="str">
            <v xml:space="preserve">2 - CUSTOS INDIRETOS </v>
          </cell>
          <cell r="K92" t="str">
            <v>2 - CUSTOS INDIRETOS 1.003.002.001</v>
          </cell>
          <cell r="L92">
            <v>30000</v>
          </cell>
          <cell r="N92">
            <v>70724.809999999983</v>
          </cell>
          <cell r="O92">
            <v>852.16000000000008</v>
          </cell>
          <cell r="P92">
            <v>0</v>
          </cell>
          <cell r="Q92">
            <v>1277.5</v>
          </cell>
          <cell r="R92">
            <v>72854.469999999987</v>
          </cell>
          <cell r="T92">
            <v>-50998.128999999986</v>
          </cell>
          <cell r="U92">
            <v>21856.341</v>
          </cell>
          <cell r="V92">
            <v>8143.6589999999997</v>
          </cell>
        </row>
        <row r="93">
          <cell r="D93" t="str">
            <v>SEGURANÇA DE CANTEIRO</v>
          </cell>
          <cell r="I93" t="str">
            <v>01.003.003 - SEGURANÇA DE CANTEIRO</v>
          </cell>
          <cell r="J93" t="str">
            <v xml:space="preserve">2 - CUSTOS INDIRETOS </v>
          </cell>
          <cell r="K93" t="str">
            <v>2 - CUSTOS INDIRETOS 1.003.003</v>
          </cell>
          <cell r="L93">
            <v>208014.59999999998</v>
          </cell>
          <cell r="N93">
            <v>168457.21000000005</v>
          </cell>
          <cell r="O93">
            <v>2266.94</v>
          </cell>
          <cell r="P93">
            <v>0</v>
          </cell>
          <cell r="Q93">
            <v>1113.26</v>
          </cell>
          <cell r="R93">
            <v>171837.41000000006</v>
          </cell>
          <cell r="T93">
            <v>-22851.661000000018</v>
          </cell>
          <cell r="U93">
            <v>148985.74900000004</v>
          </cell>
          <cell r="V93">
            <v>59028.850999999937</v>
          </cell>
        </row>
        <row r="94">
          <cell r="D94" t="str">
            <v>Proteção Vertical De Madeira Para Fosso Do Elevador</v>
          </cell>
          <cell r="E94">
            <v>34</v>
          </cell>
          <cell r="F94" t="str">
            <v>un</v>
          </cell>
          <cell r="G94">
            <v>7548</v>
          </cell>
          <cell r="H94">
            <v>0</v>
          </cell>
          <cell r="I94" t="str">
            <v>01.003.003.001 - Proteção Vertical De Madeira Para Fosso Do Elevador</v>
          </cell>
          <cell r="J94" t="str">
            <v xml:space="preserve">2 - CUSTOS INDIRETOS </v>
          </cell>
          <cell r="K94" t="str">
            <v>2 - CUSTOS INDIRETOS 1.003.003.001</v>
          </cell>
          <cell r="L94">
            <v>7548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T94">
            <v>0</v>
          </cell>
          <cell r="U94">
            <v>0</v>
          </cell>
          <cell r="V94">
            <v>7548</v>
          </cell>
        </row>
        <row r="95">
          <cell r="D95" t="str">
            <v>Proteção Horizontal De Fosso Do Elevador</v>
          </cell>
          <cell r="E95">
            <v>34</v>
          </cell>
          <cell r="F95" t="str">
            <v>un</v>
          </cell>
          <cell r="G95">
            <v>7548</v>
          </cell>
          <cell r="H95">
            <v>0</v>
          </cell>
          <cell r="I95" t="str">
            <v>01.003.003.002 - Proteção Horizontal De Fosso Do Elevador</v>
          </cell>
          <cell r="J95" t="str">
            <v xml:space="preserve">2 - CUSTOS INDIRETOS </v>
          </cell>
          <cell r="K95" t="str">
            <v>2 - CUSTOS INDIRETOS 1.003.003.002</v>
          </cell>
          <cell r="L95">
            <v>7548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T95">
            <v>0</v>
          </cell>
          <cell r="U95">
            <v>0</v>
          </cell>
          <cell r="V95">
            <v>7548</v>
          </cell>
        </row>
        <row r="96">
          <cell r="D96" t="str">
            <v>Proteção Da Laje Durante A Concretagem - Material</v>
          </cell>
          <cell r="E96">
            <v>127</v>
          </cell>
          <cell r="F96" t="str">
            <v>m</v>
          </cell>
          <cell r="G96">
            <v>13716</v>
          </cell>
          <cell r="H96">
            <v>0</v>
          </cell>
          <cell r="I96" t="str">
            <v>01.003.003.003 - Proteção Da Laje Durante A Concretagem - Material</v>
          </cell>
          <cell r="J96" t="str">
            <v xml:space="preserve">2 - CUSTOS INDIRETOS </v>
          </cell>
          <cell r="K96" t="str">
            <v>2 - CUSTOS INDIRETOS 1.003.003.003</v>
          </cell>
          <cell r="L96">
            <v>13716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T96">
            <v>0</v>
          </cell>
          <cell r="U96">
            <v>0</v>
          </cell>
          <cell r="V96">
            <v>13716</v>
          </cell>
        </row>
        <row r="97">
          <cell r="D97" t="str">
            <v>Plataforma De Segurança (Primaria) - Aquisição</v>
          </cell>
          <cell r="E97">
            <v>1</v>
          </cell>
          <cell r="F97" t="str">
            <v>vb</v>
          </cell>
          <cell r="G97">
            <v>10000</v>
          </cell>
          <cell r="H97">
            <v>0</v>
          </cell>
          <cell r="I97" t="str">
            <v>01.003.003.004 - Plataforma De Segurança (Primaria) - Aquisição</v>
          </cell>
          <cell r="J97" t="str">
            <v xml:space="preserve">2 - CUSTOS INDIRETOS </v>
          </cell>
          <cell r="K97" t="str">
            <v>2 - CUSTOS INDIRETOS 1.003.003.004</v>
          </cell>
          <cell r="L97">
            <v>10000</v>
          </cell>
          <cell r="N97">
            <v>23054.93</v>
          </cell>
          <cell r="O97">
            <v>0</v>
          </cell>
          <cell r="P97">
            <v>0</v>
          </cell>
          <cell r="Q97">
            <v>0</v>
          </cell>
          <cell r="R97">
            <v>23054.93</v>
          </cell>
          <cell r="T97">
            <v>-16138.450999999999</v>
          </cell>
          <cell r="U97">
            <v>6916.4790000000012</v>
          </cell>
          <cell r="V97">
            <v>3083.5209999999988</v>
          </cell>
        </row>
        <row r="98">
          <cell r="D98" t="str">
            <v>Plataforma De Segurança (Primaria) - Confecção</v>
          </cell>
          <cell r="E98">
            <v>127</v>
          </cell>
          <cell r="F98" t="str">
            <v>m</v>
          </cell>
          <cell r="G98">
            <v>22860</v>
          </cell>
          <cell r="H98">
            <v>0</v>
          </cell>
          <cell r="I98" t="str">
            <v>01.003.003.005 - Plataforma De Segurança (Primaria) - Confecção</v>
          </cell>
          <cell r="J98" t="str">
            <v xml:space="preserve">2 - CUSTOS INDIRETOS </v>
          </cell>
          <cell r="K98" t="str">
            <v>2 - CUSTOS INDIRETOS 1.003.003.005</v>
          </cell>
          <cell r="L98">
            <v>22860</v>
          </cell>
          <cell r="N98">
            <v>21509.75</v>
          </cell>
          <cell r="O98">
            <v>0</v>
          </cell>
          <cell r="P98">
            <v>0</v>
          </cell>
          <cell r="Q98">
            <v>0</v>
          </cell>
          <cell r="R98">
            <v>21509.75</v>
          </cell>
          <cell r="T98">
            <v>0</v>
          </cell>
          <cell r="U98">
            <v>21509.75</v>
          </cell>
          <cell r="V98">
            <v>1350.25</v>
          </cell>
        </row>
        <row r="99">
          <cell r="D99" t="str">
            <v>Plataforma De Segurança (Primaria) - Montagem / Desmontagem</v>
          </cell>
          <cell r="E99">
            <v>127</v>
          </cell>
          <cell r="F99" t="str">
            <v>m</v>
          </cell>
          <cell r="G99">
            <v>13716</v>
          </cell>
          <cell r="H99">
            <v>0</v>
          </cell>
          <cell r="I99" t="str">
            <v>01.003.003.006 - Plataforma De Segurança (Primaria) - Montagem / Desmontagem</v>
          </cell>
          <cell r="J99" t="str">
            <v xml:space="preserve">2 - CUSTOS INDIRETOS </v>
          </cell>
          <cell r="K99" t="str">
            <v>2 - CUSTOS INDIRETOS 1.003.003.006</v>
          </cell>
          <cell r="L99">
            <v>13716</v>
          </cell>
          <cell r="N99">
            <v>10452.879999999999</v>
          </cell>
          <cell r="O99">
            <v>0</v>
          </cell>
          <cell r="P99">
            <v>0</v>
          </cell>
          <cell r="Q99">
            <v>0</v>
          </cell>
          <cell r="R99">
            <v>10452.879999999999</v>
          </cell>
          <cell r="T99">
            <v>3263.1200000000008</v>
          </cell>
          <cell r="U99">
            <v>13716</v>
          </cell>
          <cell r="V99">
            <v>0</v>
          </cell>
        </row>
        <row r="100">
          <cell r="D100" t="str">
            <v>Equipamentos De Proteção Individual</v>
          </cell>
          <cell r="E100">
            <v>1</v>
          </cell>
          <cell r="F100" t="str">
            <v>vb</v>
          </cell>
          <cell r="G100">
            <v>73158.62</v>
          </cell>
          <cell r="H100">
            <v>0</v>
          </cell>
          <cell r="I100" t="str">
            <v>01.003.003.007 - Equipamentos De Proteção Individual</v>
          </cell>
          <cell r="J100" t="str">
            <v xml:space="preserve">2 - CUSTOS INDIRETOS </v>
          </cell>
          <cell r="K100" t="str">
            <v>2 - CUSTOS INDIRETOS 1.003.003.007</v>
          </cell>
          <cell r="L100">
            <v>73158.62</v>
          </cell>
          <cell r="N100">
            <v>66454.190000000017</v>
          </cell>
          <cell r="O100">
            <v>2266.94</v>
          </cell>
          <cell r="P100">
            <v>0</v>
          </cell>
          <cell r="Q100">
            <v>1113.26</v>
          </cell>
          <cell r="R100">
            <v>69834.390000000014</v>
          </cell>
          <cell r="T100">
            <v>3324.2299999999814</v>
          </cell>
          <cell r="U100">
            <v>73158.62</v>
          </cell>
          <cell r="V100">
            <v>0</v>
          </cell>
        </row>
        <row r="101">
          <cell r="D101" t="str">
            <v>Equipamento De Proteção Coletiva</v>
          </cell>
          <cell r="E101">
            <v>1</v>
          </cell>
          <cell r="F101" t="str">
            <v>vb</v>
          </cell>
          <cell r="G101">
            <v>19365.52</v>
          </cell>
          <cell r="H101">
            <v>0</v>
          </cell>
          <cell r="I101" t="str">
            <v>01.003.003.008 - Equipamento De Proteção Coletiva</v>
          </cell>
          <cell r="J101" t="str">
            <v xml:space="preserve">2 - CUSTOS INDIRETOS </v>
          </cell>
          <cell r="K101" t="str">
            <v>2 - CUSTOS INDIRETOS 1.003.003.008</v>
          </cell>
          <cell r="L101">
            <v>19365.52</v>
          </cell>
          <cell r="N101">
            <v>35709.47</v>
          </cell>
          <cell r="O101">
            <v>0</v>
          </cell>
          <cell r="P101">
            <v>0</v>
          </cell>
          <cell r="Q101">
            <v>0</v>
          </cell>
          <cell r="R101">
            <v>35709.47</v>
          </cell>
          <cell r="T101">
            <v>-16343.95</v>
          </cell>
          <cell r="U101">
            <v>19365.52</v>
          </cell>
          <cell r="V101">
            <v>0</v>
          </cell>
        </row>
        <row r="102">
          <cell r="D102" t="str">
            <v>Equipamentos De Combate A Incêndio</v>
          </cell>
          <cell r="E102">
            <v>1</v>
          </cell>
          <cell r="F102" t="str">
            <v>vb</v>
          </cell>
          <cell r="G102">
            <v>3227.59</v>
          </cell>
          <cell r="H102">
            <v>0</v>
          </cell>
          <cell r="I102" t="str">
            <v>01.003.003.009 - Equipamentos De Combate A Incêndio</v>
          </cell>
          <cell r="J102" t="str">
            <v xml:space="preserve">2 - CUSTOS INDIRETOS </v>
          </cell>
          <cell r="K102" t="str">
            <v>2 - CUSTOS INDIRETOS 1.003.003.009</v>
          </cell>
          <cell r="L102">
            <v>3227.59</v>
          </cell>
          <cell r="N102">
            <v>184.2</v>
          </cell>
          <cell r="O102">
            <v>0</v>
          </cell>
          <cell r="P102">
            <v>0</v>
          </cell>
          <cell r="Q102">
            <v>0</v>
          </cell>
          <cell r="R102">
            <v>184.2</v>
          </cell>
          <cell r="T102">
            <v>3043.3900000000003</v>
          </cell>
          <cell r="U102">
            <v>3227.59</v>
          </cell>
          <cell r="V102">
            <v>0</v>
          </cell>
        </row>
        <row r="103">
          <cell r="D103" t="str">
            <v>Baia Para Produtos Reciclaveis</v>
          </cell>
          <cell r="E103">
            <v>1</v>
          </cell>
          <cell r="F103" t="str">
            <v>vb</v>
          </cell>
          <cell r="G103">
            <v>1500</v>
          </cell>
          <cell r="H103">
            <v>0</v>
          </cell>
          <cell r="I103" t="str">
            <v>01.003.003.010 - Baia Para Produtos Reciclaveis</v>
          </cell>
          <cell r="J103" t="str">
            <v xml:space="preserve">2 - CUSTOS INDIRETOS </v>
          </cell>
          <cell r="K103" t="str">
            <v>2 - CUSTOS INDIRETOS 1.003.003.010</v>
          </cell>
          <cell r="L103">
            <v>1500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V103">
            <v>1500</v>
          </cell>
        </row>
        <row r="104">
          <cell r="D104" t="str">
            <v>Linha De Vida Durante Concretagem</v>
          </cell>
          <cell r="E104">
            <v>127</v>
          </cell>
          <cell r="F104" t="str">
            <v>m</v>
          </cell>
          <cell r="G104">
            <v>27874.87</v>
          </cell>
          <cell r="H104">
            <v>0</v>
          </cell>
          <cell r="I104" t="str">
            <v>01.003.003.011 - Linha De Vida Durante Concretagem</v>
          </cell>
          <cell r="J104" t="str">
            <v xml:space="preserve">2 - CUSTOS INDIRETOS </v>
          </cell>
          <cell r="K104" t="str">
            <v>2 - CUSTOS INDIRETOS 1.003.003.011</v>
          </cell>
          <cell r="L104">
            <v>27874.87</v>
          </cell>
          <cell r="N104">
            <v>11091.79</v>
          </cell>
          <cell r="O104">
            <v>0</v>
          </cell>
          <cell r="P104">
            <v>0</v>
          </cell>
          <cell r="Q104">
            <v>0</v>
          </cell>
          <cell r="R104">
            <v>11091.79</v>
          </cell>
          <cell r="T104">
            <v>0</v>
          </cell>
          <cell r="U104">
            <v>11091.79</v>
          </cell>
          <cell r="V104">
            <v>16783.079999999998</v>
          </cell>
        </row>
        <row r="105">
          <cell r="D105" t="str">
            <v>Montagem Sistema Abastecimento Provisório De Água</v>
          </cell>
          <cell r="E105">
            <v>15</v>
          </cell>
          <cell r="F105" t="str">
            <v>vb</v>
          </cell>
          <cell r="G105">
            <v>7500</v>
          </cell>
          <cell r="H105">
            <v>0</v>
          </cell>
          <cell r="I105" t="str">
            <v>01.003.003.012 - Montagem Sistema Abastecimento Provisório De Água</v>
          </cell>
          <cell r="J105" t="str">
            <v xml:space="preserve">2 - CUSTOS INDIRETOS </v>
          </cell>
          <cell r="K105" t="str">
            <v>2 - CUSTOS INDIRETOS 1.003.003.012</v>
          </cell>
          <cell r="L105">
            <v>7500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T105">
            <v>0</v>
          </cell>
          <cell r="U105">
            <v>0</v>
          </cell>
          <cell r="V105">
            <v>7500</v>
          </cell>
        </row>
        <row r="106">
          <cell r="D106" t="str">
            <v>LIMPEZA E DESMOBILIZACAO</v>
          </cell>
          <cell r="I106" t="str">
            <v>01.004 - LIMPEZA E DESMOBILIZACAO</v>
          </cell>
          <cell r="J106" t="str">
            <v xml:space="preserve">2 - CUSTOS INDIRETOS </v>
          </cell>
          <cell r="K106" t="str">
            <v>2 - CUSTOS INDIRETOS 1.004</v>
          </cell>
          <cell r="L106">
            <v>86500</v>
          </cell>
          <cell r="N106">
            <v>105037.17</v>
          </cell>
          <cell r="O106">
            <v>0</v>
          </cell>
          <cell r="P106">
            <v>25650</v>
          </cell>
          <cell r="Q106">
            <v>0</v>
          </cell>
          <cell r="R106">
            <v>130687.17</v>
          </cell>
          <cell r="T106">
            <v>18859.86</v>
          </cell>
          <cell r="U106">
            <v>149547.03</v>
          </cell>
          <cell r="V106">
            <v>-63047.03</v>
          </cell>
        </row>
        <row r="107">
          <cell r="D107" t="str">
            <v>LIMPEZA PERIODICA</v>
          </cell>
          <cell r="I107" t="str">
            <v>01.004.001 - LIMPEZA PERIODICA</v>
          </cell>
          <cell r="J107" t="str">
            <v xml:space="preserve">2 - CUSTOS INDIRETOS </v>
          </cell>
          <cell r="K107" t="str">
            <v>2 - CUSTOS INDIRETOS 1.004.001</v>
          </cell>
          <cell r="L107">
            <v>76500</v>
          </cell>
          <cell r="N107">
            <v>104837.17</v>
          </cell>
          <cell r="O107">
            <v>0</v>
          </cell>
          <cell r="P107">
            <v>25650</v>
          </cell>
          <cell r="Q107">
            <v>0</v>
          </cell>
          <cell r="R107">
            <v>130487.17</v>
          </cell>
          <cell r="T107">
            <v>9059.86</v>
          </cell>
          <cell r="U107">
            <v>139547.03</v>
          </cell>
          <cell r="V107">
            <v>-63047.03</v>
          </cell>
        </row>
        <row r="108">
          <cell r="D108" t="str">
            <v>Remoção De Entulho (Caçamba)</v>
          </cell>
          <cell r="E108">
            <v>132</v>
          </cell>
          <cell r="F108" t="str">
            <v>un</v>
          </cell>
          <cell r="G108">
            <v>66000</v>
          </cell>
          <cell r="H108">
            <v>0</v>
          </cell>
          <cell r="I108" t="str">
            <v>01.004.001.001 - Remoção De Entulho (Caçamba)</v>
          </cell>
          <cell r="J108" t="str">
            <v xml:space="preserve">2 - CUSTOS INDIRETOS </v>
          </cell>
          <cell r="K108" t="str">
            <v>2 - CUSTOS INDIRETOS 1.004.001.001</v>
          </cell>
          <cell r="L108">
            <v>66000</v>
          </cell>
          <cell r="N108">
            <v>103397.03</v>
          </cell>
          <cell r="O108">
            <v>0</v>
          </cell>
          <cell r="P108">
            <v>25650</v>
          </cell>
          <cell r="Q108">
            <v>0</v>
          </cell>
          <cell r="R108">
            <v>129047.03</v>
          </cell>
          <cell r="T108">
            <v>0</v>
          </cell>
          <cell r="U108">
            <v>129047.03</v>
          </cell>
          <cell r="V108">
            <v>-63047.03</v>
          </cell>
        </row>
        <row r="109">
          <cell r="D109" t="str">
            <v>Lavagem De Rua</v>
          </cell>
          <cell r="E109">
            <v>1</v>
          </cell>
          <cell r="F109" t="str">
            <v>vb</v>
          </cell>
          <cell r="G109">
            <v>4500</v>
          </cell>
          <cell r="H109">
            <v>0</v>
          </cell>
          <cell r="I109" t="str">
            <v>01.004.001.002 - Lavagem De Rua</v>
          </cell>
          <cell r="J109" t="str">
            <v xml:space="preserve">2 - CUSTOS INDIRETOS </v>
          </cell>
          <cell r="K109" t="str">
            <v>2 - CUSTOS INDIRETOS 1.004.001.002</v>
          </cell>
          <cell r="L109">
            <v>4500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T109">
            <v>4500</v>
          </cell>
          <cell r="U109">
            <v>4500</v>
          </cell>
          <cell r="V109">
            <v>0</v>
          </cell>
        </row>
        <row r="110">
          <cell r="D110" t="str">
            <v>Dedetização Obra</v>
          </cell>
          <cell r="E110">
            <v>4</v>
          </cell>
          <cell r="F110" t="str">
            <v>un</v>
          </cell>
          <cell r="G110">
            <v>6000</v>
          </cell>
          <cell r="H110">
            <v>0</v>
          </cell>
          <cell r="I110" t="str">
            <v>01.004.001.003 - Dedetização Obra</v>
          </cell>
          <cell r="J110" t="str">
            <v xml:space="preserve">2 - CUSTOS INDIRETOS </v>
          </cell>
          <cell r="K110" t="str">
            <v>2 - CUSTOS INDIRETOS 1.004.001.003</v>
          </cell>
          <cell r="L110">
            <v>6000</v>
          </cell>
          <cell r="N110">
            <v>1440.1399999999999</v>
          </cell>
          <cell r="O110">
            <v>0</v>
          </cell>
          <cell r="P110">
            <v>0</v>
          </cell>
          <cell r="Q110">
            <v>0</v>
          </cell>
          <cell r="R110">
            <v>1440.1399999999999</v>
          </cell>
          <cell r="T110">
            <v>4559.8600000000006</v>
          </cell>
          <cell r="U110">
            <v>6000</v>
          </cell>
          <cell r="V110">
            <v>0</v>
          </cell>
        </row>
        <row r="111">
          <cell r="D111" t="str">
            <v>DESMOBILIZACAO DE CANTEIRO</v>
          </cell>
          <cell r="I111" t="str">
            <v>01.004.002 - DESMOBILIZACAO DE CANTEIRO</v>
          </cell>
          <cell r="J111" t="str">
            <v xml:space="preserve">2 - CUSTOS INDIRETOS </v>
          </cell>
          <cell r="K111" t="str">
            <v>2 - CUSTOS INDIRETOS 1.004.002</v>
          </cell>
          <cell r="L111">
            <v>10000</v>
          </cell>
          <cell r="N111">
            <v>200</v>
          </cell>
          <cell r="O111">
            <v>0</v>
          </cell>
          <cell r="P111">
            <v>0</v>
          </cell>
          <cell r="Q111">
            <v>0</v>
          </cell>
          <cell r="R111">
            <v>200</v>
          </cell>
          <cell r="T111">
            <v>9800</v>
          </cell>
          <cell r="U111">
            <v>10000</v>
          </cell>
          <cell r="V111">
            <v>0</v>
          </cell>
        </row>
        <row r="112">
          <cell r="D112" t="str">
            <v>Demolição E Retirada Do Canteiro De Obras</v>
          </cell>
          <cell r="E112">
            <v>1</v>
          </cell>
          <cell r="F112" t="str">
            <v>vb</v>
          </cell>
          <cell r="G112">
            <v>10000</v>
          </cell>
          <cell r="H112">
            <v>0</v>
          </cell>
          <cell r="I112" t="str">
            <v>01.004.002.001 - Demolição E Retirada Do Canteiro De Obras</v>
          </cell>
          <cell r="J112" t="str">
            <v xml:space="preserve">2 - CUSTOS INDIRETOS </v>
          </cell>
          <cell r="K112" t="str">
            <v>2 - CUSTOS INDIRETOS 1.004.002.001</v>
          </cell>
          <cell r="L112">
            <v>10000</v>
          </cell>
          <cell r="N112">
            <v>200</v>
          </cell>
          <cell r="O112">
            <v>0</v>
          </cell>
          <cell r="P112">
            <v>0</v>
          </cell>
          <cell r="Q112">
            <v>0</v>
          </cell>
          <cell r="R112">
            <v>200</v>
          </cell>
          <cell r="T112">
            <v>9800</v>
          </cell>
          <cell r="U112">
            <v>10000</v>
          </cell>
          <cell r="V112">
            <v>0</v>
          </cell>
        </row>
        <row r="113">
          <cell r="D113" t="str">
            <v>ADMINISTRAÇÃO DA OBRA</v>
          </cell>
          <cell r="I113" t="str">
            <v>01.005 - ADMINISTRAÇÃO DA OBRA</v>
          </cell>
          <cell r="J113" t="str">
            <v xml:space="preserve">2 - CUSTOS INDIRETOS </v>
          </cell>
          <cell r="K113" t="str">
            <v>2 - CUSTOS INDIRETOS 1.005</v>
          </cell>
          <cell r="L113">
            <v>2768891.01</v>
          </cell>
          <cell r="N113">
            <v>1962204.1000000003</v>
          </cell>
          <cell r="O113">
            <v>58536.83</v>
          </cell>
          <cell r="P113">
            <v>97879.580000000016</v>
          </cell>
          <cell r="Q113">
            <v>0</v>
          </cell>
          <cell r="R113">
            <v>2118620.5100000002</v>
          </cell>
          <cell r="T113">
            <v>491626.20999999967</v>
          </cell>
          <cell r="U113">
            <v>2610246.7199999997</v>
          </cell>
          <cell r="V113">
            <v>158644.29000000004</v>
          </cell>
        </row>
        <row r="114">
          <cell r="D114" t="str">
            <v>ADMINISTRATIVO DA OBRA</v>
          </cell>
          <cell r="I114" t="str">
            <v>01.005.001 - ADMINISTRATIVO DA OBRA</v>
          </cell>
          <cell r="J114" t="str">
            <v xml:space="preserve">2 - CUSTOS INDIRETOS </v>
          </cell>
          <cell r="K114" t="str">
            <v>2 - CUSTOS INDIRETOS 1.005.001</v>
          </cell>
          <cell r="L114">
            <v>1480467</v>
          </cell>
          <cell r="N114">
            <v>884805.31</v>
          </cell>
          <cell r="O114">
            <v>28961.95</v>
          </cell>
          <cell r="P114">
            <v>97879.360000000015</v>
          </cell>
          <cell r="Q114">
            <v>0</v>
          </cell>
          <cell r="R114">
            <v>1011646.62</v>
          </cell>
          <cell r="T114">
            <v>257314.93999999989</v>
          </cell>
          <cell r="U114">
            <v>1268961.5599999998</v>
          </cell>
          <cell r="V114">
            <v>211505.44000000018</v>
          </cell>
        </row>
        <row r="115">
          <cell r="D115" t="str">
            <v>Engenheiro Residente</v>
          </cell>
          <cell r="E115">
            <v>38</v>
          </cell>
          <cell r="F115" t="str">
            <v>mes</v>
          </cell>
          <cell r="G115">
            <v>380000</v>
          </cell>
          <cell r="H115">
            <v>0</v>
          </cell>
          <cell r="I115" t="str">
            <v>01.005.001.001 - Engenheiro Residente</v>
          </cell>
          <cell r="J115" t="str">
            <v xml:space="preserve">2 - CUSTOS INDIRETOS </v>
          </cell>
          <cell r="K115" t="str">
            <v>2 - CUSTOS INDIRETOS 1.005.001.001</v>
          </cell>
          <cell r="L115">
            <v>380000</v>
          </cell>
          <cell r="N115">
            <v>287020.68</v>
          </cell>
          <cell r="O115">
            <v>12000</v>
          </cell>
          <cell r="P115">
            <v>86729.32</v>
          </cell>
          <cell r="Q115">
            <v>0</v>
          </cell>
          <cell r="R115">
            <v>385750</v>
          </cell>
          <cell r="T115">
            <v>5700</v>
          </cell>
          <cell r="U115">
            <v>391450</v>
          </cell>
          <cell r="V115">
            <v>-11450</v>
          </cell>
        </row>
        <row r="116">
          <cell r="D116" t="str">
            <v>Mestre De Obra</v>
          </cell>
          <cell r="E116">
            <v>36</v>
          </cell>
          <cell r="F116" t="str">
            <v>mes</v>
          </cell>
          <cell r="G116">
            <v>478800</v>
          </cell>
          <cell r="H116">
            <v>0</v>
          </cell>
          <cell r="I116" t="str">
            <v>01.005.001.002 - Mestre De Obra</v>
          </cell>
          <cell r="J116" t="str">
            <v xml:space="preserve">2 - CUSTOS INDIRETOS </v>
          </cell>
          <cell r="K116" t="str">
            <v>2 - CUSTOS INDIRETOS 1.005.001.002</v>
          </cell>
          <cell r="L116">
            <v>478800</v>
          </cell>
          <cell r="N116">
            <v>311686.24000000011</v>
          </cell>
          <cell r="O116">
            <v>8407.15</v>
          </cell>
          <cell r="P116">
            <v>0</v>
          </cell>
          <cell r="Q116">
            <v>0</v>
          </cell>
          <cell r="R116">
            <v>320093.39000000013</v>
          </cell>
          <cell r="T116">
            <v>82775.639999999898</v>
          </cell>
          <cell r="U116">
            <v>402869.03</v>
          </cell>
          <cell r="V116">
            <v>75930.969999999972</v>
          </cell>
        </row>
        <row r="117">
          <cell r="D117" t="str">
            <v>Técnico De Segurança</v>
          </cell>
          <cell r="E117">
            <v>36</v>
          </cell>
          <cell r="F117" t="str">
            <v>mes</v>
          </cell>
          <cell r="G117">
            <v>108000</v>
          </cell>
          <cell r="H117">
            <v>0</v>
          </cell>
          <cell r="I117" t="str">
            <v>01.005.001.003 - Técnico De Segurança</v>
          </cell>
          <cell r="J117" t="str">
            <v xml:space="preserve">2 - CUSTOS INDIRETOS </v>
          </cell>
          <cell r="K117" t="str">
            <v>2 - CUSTOS INDIRETOS 1.005.001.003</v>
          </cell>
          <cell r="L117">
            <v>108000</v>
          </cell>
          <cell r="N117">
            <v>54972.29</v>
          </cell>
          <cell r="O117">
            <v>2000</v>
          </cell>
          <cell r="P117">
            <v>11150.04</v>
          </cell>
          <cell r="Q117">
            <v>0</v>
          </cell>
          <cell r="R117">
            <v>68122.33</v>
          </cell>
          <cell r="T117">
            <v>16849.999999999985</v>
          </cell>
          <cell r="U117">
            <v>84972.329999999987</v>
          </cell>
          <cell r="V117">
            <v>23027.670000000013</v>
          </cell>
        </row>
        <row r="118">
          <cell r="D118" t="str">
            <v>Estagiário De Engenharia (2)</v>
          </cell>
          <cell r="E118">
            <v>72</v>
          </cell>
          <cell r="F118" t="str">
            <v>mes</v>
          </cell>
          <cell r="G118">
            <v>96867</v>
          </cell>
          <cell r="H118">
            <v>0</v>
          </cell>
          <cell r="I118" t="str">
            <v>01.005.001.004 - Estagiário De Engenharia (2)</v>
          </cell>
          <cell r="J118" t="str">
            <v xml:space="preserve">2 - CUSTOS INDIRETOS </v>
          </cell>
          <cell r="K118" t="str">
            <v>2 - CUSTOS INDIRETOS 1.005.001.004</v>
          </cell>
          <cell r="L118">
            <v>96867</v>
          </cell>
          <cell r="N118">
            <v>40658.969999999994</v>
          </cell>
          <cell r="O118">
            <v>3120</v>
          </cell>
          <cell r="P118">
            <v>0</v>
          </cell>
          <cell r="Q118">
            <v>0</v>
          </cell>
          <cell r="R118">
            <v>43778.969999999994</v>
          </cell>
          <cell r="T118">
            <v>16050.900000000001</v>
          </cell>
          <cell r="U118">
            <v>59829.869999999995</v>
          </cell>
          <cell r="V118">
            <v>37037.130000000005</v>
          </cell>
        </row>
        <row r="119">
          <cell r="D119" t="str">
            <v>Encarregado</v>
          </cell>
          <cell r="E119">
            <v>20</v>
          </cell>
          <cell r="F119" t="str">
            <v>mes</v>
          </cell>
          <cell r="G119">
            <v>190000</v>
          </cell>
          <cell r="H119">
            <v>0</v>
          </cell>
          <cell r="I119" t="str">
            <v>01.005.001.005 - Encarregado</v>
          </cell>
          <cell r="J119" t="str">
            <v xml:space="preserve">2 - CUSTOS INDIRETOS </v>
          </cell>
          <cell r="K119" t="str">
            <v>2 - CUSTOS INDIRETOS 1.005.001.005</v>
          </cell>
          <cell r="L119">
            <v>190000</v>
          </cell>
          <cell r="N119">
            <v>44265.330000000009</v>
          </cell>
          <cell r="O119">
            <v>0</v>
          </cell>
          <cell r="P119">
            <v>0</v>
          </cell>
          <cell r="Q119">
            <v>0</v>
          </cell>
          <cell r="R119">
            <v>44265.330000000009</v>
          </cell>
          <cell r="T119">
            <v>110184.09</v>
          </cell>
          <cell r="U119">
            <v>154449.42000000001</v>
          </cell>
          <cell r="V119">
            <v>35550.579999999987</v>
          </cell>
        </row>
        <row r="120">
          <cell r="D120" t="str">
            <v>Almoxarife</v>
          </cell>
          <cell r="E120">
            <v>36</v>
          </cell>
          <cell r="F120" t="str">
            <v>mes</v>
          </cell>
          <cell r="G120">
            <v>226800</v>
          </cell>
          <cell r="H120">
            <v>0</v>
          </cell>
          <cell r="I120" t="str">
            <v>01.005.001.006 - Almoxarife</v>
          </cell>
          <cell r="J120" t="str">
            <v xml:space="preserve">2 - CUSTOS INDIRETOS </v>
          </cell>
          <cell r="K120" t="str">
            <v>2 - CUSTOS INDIRETOS 1.005.001.006</v>
          </cell>
          <cell r="L120">
            <v>226800</v>
          </cell>
          <cell r="N120">
            <v>146201.79999999999</v>
          </cell>
          <cell r="O120">
            <v>3434.8</v>
          </cell>
          <cell r="P120">
            <v>0</v>
          </cell>
          <cell r="Q120">
            <v>0</v>
          </cell>
          <cell r="R120">
            <v>149636.59999999998</v>
          </cell>
          <cell r="T120">
            <v>25754.309999999998</v>
          </cell>
          <cell r="U120">
            <v>175390.90999999997</v>
          </cell>
          <cell r="V120">
            <v>51409.090000000026</v>
          </cell>
        </row>
        <row r="121">
          <cell r="D121" t="str">
            <v>EQUIPE DE APOIO</v>
          </cell>
          <cell r="I121" t="str">
            <v>01.005.002 - EQUIPE DE APOIO</v>
          </cell>
          <cell r="J121" t="str">
            <v xml:space="preserve">2 - CUSTOS INDIRETOS </v>
          </cell>
          <cell r="K121" t="str">
            <v>2 - CUSTOS INDIRETOS 1.005.002</v>
          </cell>
          <cell r="L121">
            <v>1108398.01</v>
          </cell>
          <cell r="N121">
            <v>875444.01000000013</v>
          </cell>
          <cell r="O121">
            <v>28213.43</v>
          </cell>
          <cell r="P121">
            <v>0</v>
          </cell>
          <cell r="Q121">
            <v>0</v>
          </cell>
          <cell r="R121">
            <v>903657.44000000018</v>
          </cell>
          <cell r="T121">
            <v>211129.99999999983</v>
          </cell>
          <cell r="U121">
            <v>1114787.44</v>
          </cell>
          <cell r="V121">
            <v>-6389.4299999999348</v>
          </cell>
        </row>
        <row r="122">
          <cell r="D122" t="str">
            <v>Carpinteiro</v>
          </cell>
          <cell r="E122">
            <v>7</v>
          </cell>
          <cell r="F122" t="str">
            <v>mes</v>
          </cell>
          <cell r="G122">
            <v>52360</v>
          </cell>
          <cell r="H122">
            <v>0</v>
          </cell>
          <cell r="I122" t="str">
            <v>01.005.002.001 - Carpinteiro</v>
          </cell>
          <cell r="J122" t="str">
            <v xml:space="preserve">2 - CUSTOS INDIRETOS </v>
          </cell>
          <cell r="K122" t="str">
            <v>2 - CUSTOS INDIRETOS 1.005.002.001</v>
          </cell>
          <cell r="L122">
            <v>52360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T122">
            <v>15000</v>
          </cell>
          <cell r="U122">
            <v>15000</v>
          </cell>
          <cell r="V122">
            <v>37360</v>
          </cell>
        </row>
        <row r="123">
          <cell r="D123" t="str">
            <v>Operador De Cremalheira</v>
          </cell>
          <cell r="E123">
            <v>38</v>
          </cell>
          <cell r="F123" t="str">
            <v>mes</v>
          </cell>
          <cell r="G123">
            <v>216466.69</v>
          </cell>
          <cell r="H123">
            <v>0</v>
          </cell>
          <cell r="I123" t="str">
            <v>01.005.002.002 - Operador De Cremalheira</v>
          </cell>
          <cell r="J123" t="str">
            <v xml:space="preserve">2 - CUSTOS INDIRETOS </v>
          </cell>
          <cell r="K123" t="str">
            <v>2 - CUSTOS INDIRETOS 1.005.002.002</v>
          </cell>
          <cell r="L123">
            <v>216466.69</v>
          </cell>
          <cell r="N123">
            <v>236257.99000000002</v>
          </cell>
          <cell r="O123">
            <v>8670.7999999999993</v>
          </cell>
          <cell r="P123">
            <v>0</v>
          </cell>
          <cell r="Q123">
            <v>0</v>
          </cell>
          <cell r="R123">
            <v>244928.79</v>
          </cell>
          <cell r="T123">
            <v>0</v>
          </cell>
          <cell r="U123">
            <v>244928.79</v>
          </cell>
          <cell r="V123">
            <v>-28462.100000000006</v>
          </cell>
        </row>
        <row r="124">
          <cell r="D124" t="str">
            <v>Operador De Grua</v>
          </cell>
          <cell r="E124">
            <v>0</v>
          </cell>
          <cell r="F124" t="str">
            <v>mes</v>
          </cell>
          <cell r="G124">
            <v>0</v>
          </cell>
          <cell r="H124">
            <v>0</v>
          </cell>
          <cell r="I124" t="str">
            <v>01.005.002.003 - Operador De Grua</v>
          </cell>
          <cell r="J124" t="str">
            <v xml:space="preserve">2 - CUSTOS INDIRETOS </v>
          </cell>
          <cell r="K124" t="str">
            <v>2 - CUSTOS INDIRETOS 1.005.002.003</v>
          </cell>
          <cell r="L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D125" t="str">
            <v>Eletricista</v>
          </cell>
          <cell r="E125">
            <v>8</v>
          </cell>
          <cell r="F125" t="str">
            <v>mes</v>
          </cell>
          <cell r="G125">
            <v>62284.44</v>
          </cell>
          <cell r="H125">
            <v>0</v>
          </cell>
          <cell r="I125" t="str">
            <v>01.005.002.004 - Eletricista</v>
          </cell>
          <cell r="J125" t="str">
            <v xml:space="preserve">2 - CUSTOS INDIRETOS </v>
          </cell>
          <cell r="K125" t="str">
            <v>2 - CUSTOS INDIRETOS 1.005.002.004</v>
          </cell>
          <cell r="L125">
            <v>62284.44</v>
          </cell>
          <cell r="N125">
            <v>7138.7699999999995</v>
          </cell>
          <cell r="O125">
            <v>0</v>
          </cell>
          <cell r="P125">
            <v>0</v>
          </cell>
          <cell r="Q125">
            <v>0</v>
          </cell>
          <cell r="R125">
            <v>7138.7699999999995</v>
          </cell>
          <cell r="T125">
            <v>55145.670000000006</v>
          </cell>
          <cell r="U125">
            <v>62284.44</v>
          </cell>
          <cell r="V125">
            <v>0</v>
          </cell>
        </row>
        <row r="126">
          <cell r="D126" t="str">
            <v>Ajudante Geral</v>
          </cell>
          <cell r="E126">
            <v>108</v>
          </cell>
          <cell r="F126" t="str">
            <v>mes</v>
          </cell>
          <cell r="G126">
            <v>453600</v>
          </cell>
          <cell r="H126">
            <v>0</v>
          </cell>
          <cell r="I126" t="str">
            <v>01.005.002.005 - Ajudante Geral</v>
          </cell>
          <cell r="J126" t="str">
            <v xml:space="preserve">2 - CUSTOS INDIRETOS </v>
          </cell>
          <cell r="K126" t="str">
            <v>2 - CUSTOS INDIRETOS 1.005.002.005</v>
          </cell>
          <cell r="L126">
            <v>453600</v>
          </cell>
          <cell r="N126">
            <v>401717.07000000018</v>
          </cell>
          <cell r="O126">
            <v>5441.45</v>
          </cell>
          <cell r="P126">
            <v>0</v>
          </cell>
          <cell r="Q126">
            <v>0</v>
          </cell>
          <cell r="R126">
            <v>407158.52000000019</v>
          </cell>
          <cell r="T126">
            <v>46441.479999999807</v>
          </cell>
          <cell r="U126">
            <v>453600</v>
          </cell>
          <cell r="V126">
            <v>0</v>
          </cell>
        </row>
        <row r="127">
          <cell r="D127" t="str">
            <v>Operador De Betoneira</v>
          </cell>
          <cell r="E127">
            <v>30</v>
          </cell>
          <cell r="F127" t="str">
            <v>mes</v>
          </cell>
          <cell r="G127">
            <v>172486.88</v>
          </cell>
          <cell r="H127">
            <v>0</v>
          </cell>
          <cell r="I127" t="str">
            <v>01.005.002.006 - Operador De Betoneira</v>
          </cell>
          <cell r="J127" t="str">
            <v xml:space="preserve">2 - CUSTOS INDIRETOS </v>
          </cell>
          <cell r="K127" t="str">
            <v>2 - CUSTOS INDIRETOS 1.005.002.006</v>
          </cell>
          <cell r="L127">
            <v>172486.88</v>
          </cell>
          <cell r="N127">
            <v>176860.09000000003</v>
          </cell>
          <cell r="O127">
            <v>10914.119999999999</v>
          </cell>
          <cell r="P127">
            <v>0</v>
          </cell>
          <cell r="Q127">
            <v>0</v>
          </cell>
          <cell r="R127">
            <v>187774.21000000002</v>
          </cell>
          <cell r="T127">
            <v>0</v>
          </cell>
          <cell r="U127">
            <v>187774.21000000002</v>
          </cell>
          <cell r="V127">
            <v>-15287.330000000016</v>
          </cell>
        </row>
        <row r="128">
          <cell r="D128" t="str">
            <v>Ajudante - Limpeza</v>
          </cell>
          <cell r="E128">
            <v>36</v>
          </cell>
          <cell r="F128" t="str">
            <v>mes</v>
          </cell>
          <cell r="G128">
            <v>151200</v>
          </cell>
          <cell r="H128">
            <v>0</v>
          </cell>
          <cell r="I128" t="str">
            <v>01.005.002.007 - Ajudante - Limpeza</v>
          </cell>
          <cell r="J128" t="str">
            <v xml:space="preserve">2 - CUSTOS INDIRETOS </v>
          </cell>
          <cell r="K128" t="str">
            <v>2 - CUSTOS INDIRETOS 1.005.002.007</v>
          </cell>
          <cell r="L128">
            <v>151200</v>
          </cell>
          <cell r="N128">
            <v>53470.09</v>
          </cell>
          <cell r="O128">
            <v>3187.06</v>
          </cell>
          <cell r="P128">
            <v>0</v>
          </cell>
          <cell r="Q128">
            <v>0</v>
          </cell>
          <cell r="R128">
            <v>56657.149999999994</v>
          </cell>
          <cell r="T128">
            <v>94542.85</v>
          </cell>
          <cell r="U128">
            <v>151200</v>
          </cell>
          <cell r="V128">
            <v>0</v>
          </cell>
        </row>
        <row r="129">
          <cell r="D129" t="str">
            <v>CONSUMOS - ALIMENTAÇÃO</v>
          </cell>
          <cell r="I129" t="str">
            <v>01.005.003 - CONSUMOS - ALIMENTAÇÃO</v>
          </cell>
          <cell r="J129" t="str">
            <v xml:space="preserve">2 - CUSTOS INDIRETOS </v>
          </cell>
          <cell r="K129" t="str">
            <v>2 - CUSTOS INDIRETOS 1.005.003</v>
          </cell>
          <cell r="L129">
            <v>180026</v>
          </cell>
          <cell r="N129">
            <v>201954.78</v>
          </cell>
          <cell r="O129">
            <v>1361.45</v>
          </cell>
          <cell r="P129">
            <v>0.21999999999999997</v>
          </cell>
          <cell r="Q129">
            <v>0</v>
          </cell>
          <cell r="R129">
            <v>203316.45</v>
          </cell>
          <cell r="T129">
            <v>23181.269999999964</v>
          </cell>
          <cell r="U129">
            <v>226497.71999999997</v>
          </cell>
          <cell r="V129">
            <v>-46471.719999999972</v>
          </cell>
        </row>
        <row r="130">
          <cell r="D130" t="str">
            <v>Alimentação - Café Da Manhã</v>
          </cell>
          <cell r="E130">
            <v>10230</v>
          </cell>
          <cell r="F130" t="str">
            <v>vb</v>
          </cell>
          <cell r="G130">
            <v>30690</v>
          </cell>
          <cell r="H130">
            <v>0</v>
          </cell>
          <cell r="I130" t="str">
            <v>01.005.003.001 - Alimentação - Café Da Manhã</v>
          </cell>
          <cell r="J130" t="str">
            <v xml:space="preserve">2 - CUSTOS INDIRETOS </v>
          </cell>
          <cell r="K130" t="str">
            <v>2 - CUSTOS INDIRETOS 1.005.003.001</v>
          </cell>
          <cell r="L130">
            <v>30690</v>
          </cell>
          <cell r="N130">
            <v>31877.129999999994</v>
          </cell>
          <cell r="O130">
            <v>0</v>
          </cell>
          <cell r="P130">
            <v>0.13999999999999999</v>
          </cell>
          <cell r="Q130">
            <v>0</v>
          </cell>
          <cell r="R130">
            <v>31877.269999999993</v>
          </cell>
          <cell r="T130">
            <v>1861.8700000000063</v>
          </cell>
          <cell r="U130">
            <v>33739.14</v>
          </cell>
          <cell r="V130">
            <v>-3049.1399999999994</v>
          </cell>
        </row>
        <row r="131">
          <cell r="D131" t="str">
            <v>Alimentação - Refeição</v>
          </cell>
          <cell r="E131">
            <v>10230</v>
          </cell>
          <cell r="F131" t="str">
            <v>vb</v>
          </cell>
          <cell r="G131">
            <v>117645</v>
          </cell>
          <cell r="H131">
            <v>0</v>
          </cell>
          <cell r="I131" t="str">
            <v>01.005.003.002 - Alimentação - Refeição</v>
          </cell>
          <cell r="J131" t="str">
            <v xml:space="preserve">2 - CUSTOS INDIRETOS </v>
          </cell>
          <cell r="K131" t="str">
            <v>2 - CUSTOS INDIRETOS 1.005.003.002</v>
          </cell>
          <cell r="L131">
            <v>117645</v>
          </cell>
          <cell r="N131">
            <v>112941.51000000001</v>
          </cell>
          <cell r="O131">
            <v>1361.45</v>
          </cell>
          <cell r="P131">
            <v>0.08</v>
          </cell>
          <cell r="Q131">
            <v>0</v>
          </cell>
          <cell r="R131">
            <v>114303.04000000001</v>
          </cell>
          <cell r="T131">
            <v>9077.8499999999913</v>
          </cell>
          <cell r="U131">
            <v>123380.89</v>
          </cell>
          <cell r="V131">
            <v>-5735.8899999999994</v>
          </cell>
        </row>
        <row r="132">
          <cell r="D132" t="str">
            <v>Vale Transporte</v>
          </cell>
          <cell r="E132">
            <v>7370</v>
          </cell>
          <cell r="F132" t="str">
            <v>vb</v>
          </cell>
          <cell r="G132">
            <v>31691</v>
          </cell>
          <cell r="H132">
            <v>0</v>
          </cell>
          <cell r="I132" t="str">
            <v>01.005.003.003 - Vale Transporte</v>
          </cell>
          <cell r="J132" t="str">
            <v xml:space="preserve">2 - CUSTOS INDIRETOS </v>
          </cell>
          <cell r="K132" t="str">
            <v>2 - CUSTOS INDIRETOS 1.005.003.003</v>
          </cell>
          <cell r="L132">
            <v>31691</v>
          </cell>
          <cell r="N132">
            <v>57136.139999999978</v>
          </cell>
          <cell r="O132">
            <v>0</v>
          </cell>
          <cell r="P132">
            <v>0</v>
          </cell>
          <cell r="Q132">
            <v>0</v>
          </cell>
          <cell r="R132">
            <v>57136.139999999978</v>
          </cell>
          <cell r="T132">
            <v>12241.549999999967</v>
          </cell>
          <cell r="U132">
            <v>69377.689999999944</v>
          </cell>
          <cell r="V132">
            <v>-37686.689999999944</v>
          </cell>
        </row>
        <row r="133">
          <cell r="D133" t="str">
            <v>CUSTOS DIRETOS - ORC EXECUTIVO</v>
          </cell>
          <cell r="I133" t="str">
            <v>01 - CUSTOS DIRETOS - ORC EXECUTIVO</v>
          </cell>
          <cell r="J133" t="str">
            <v>3 - CUSTOS DIRETOS</v>
          </cell>
          <cell r="K133" t="str">
            <v>3 - CUSTOS DIRETOS1</v>
          </cell>
          <cell r="L133">
            <v>18691981.870000001</v>
          </cell>
          <cell r="N133">
            <v>13999851.570000002</v>
          </cell>
          <cell r="O133">
            <v>620974.54</v>
          </cell>
          <cell r="P133">
            <v>1090501.8999999999</v>
          </cell>
          <cell r="Q133">
            <v>76390.540000000008</v>
          </cell>
          <cell r="R133">
            <v>15787718.550000003</v>
          </cell>
          <cell r="T133">
            <v>2047735.8999999992</v>
          </cell>
          <cell r="U133">
            <v>17835454.450000003</v>
          </cell>
          <cell r="V133">
            <v>856527.41999999806</v>
          </cell>
        </row>
        <row r="134">
          <cell r="D134" t="str">
            <v>IMPLANTAÇÃO DA OBRA</v>
          </cell>
          <cell r="I134" t="str">
            <v>01.001 - IMPLANTAÇÃO DA OBRA</v>
          </cell>
          <cell r="J134" t="str">
            <v>3 - CUSTOS DIRETOS</v>
          </cell>
          <cell r="K134" t="str">
            <v>3 - CUSTOS DIRETOS1.001</v>
          </cell>
          <cell r="L134">
            <v>80573.88</v>
          </cell>
          <cell r="N134">
            <v>22449.72</v>
          </cell>
          <cell r="O134">
            <v>0</v>
          </cell>
          <cell r="P134">
            <v>0</v>
          </cell>
          <cell r="Q134">
            <v>0</v>
          </cell>
          <cell r="R134">
            <v>22449.72</v>
          </cell>
          <cell r="T134">
            <v>0</v>
          </cell>
          <cell r="U134">
            <v>22449.72</v>
          </cell>
          <cell r="V134">
            <v>58124.160000000003</v>
          </cell>
        </row>
        <row r="135">
          <cell r="D135" t="str">
            <v>IMPLANTAÇÃO DA OBRA</v>
          </cell>
          <cell r="I135" t="str">
            <v>01.001.001 - IMPLANTAÇÃO DA OBRA</v>
          </cell>
          <cell r="J135" t="str">
            <v>3 - CUSTOS DIRETOS</v>
          </cell>
          <cell r="K135" t="str">
            <v>3 - CUSTOS DIRETOS1.001.001</v>
          </cell>
          <cell r="L135">
            <v>80573.88</v>
          </cell>
          <cell r="N135">
            <v>22449.72</v>
          </cell>
          <cell r="O135">
            <v>0</v>
          </cell>
          <cell r="P135">
            <v>0</v>
          </cell>
          <cell r="Q135">
            <v>0</v>
          </cell>
          <cell r="R135">
            <v>22449.72</v>
          </cell>
          <cell r="T135">
            <v>0</v>
          </cell>
          <cell r="U135">
            <v>22449.72</v>
          </cell>
          <cell r="V135">
            <v>58124.160000000003</v>
          </cell>
        </row>
        <row r="136">
          <cell r="D136" t="str">
            <v>Locação De Obra</v>
          </cell>
          <cell r="E136">
            <v>8</v>
          </cell>
          <cell r="F136" t="str">
            <v>dia</v>
          </cell>
          <cell r="G136">
            <v>16000</v>
          </cell>
          <cell r="H136">
            <v>0</v>
          </cell>
          <cell r="I136" t="str">
            <v>01.001.001.001 - Locação De Obra</v>
          </cell>
          <cell r="J136" t="str">
            <v>3 - CUSTOS DIRETOS</v>
          </cell>
          <cell r="K136" t="str">
            <v>3 - CUSTOS DIRETOS1.001.001.001</v>
          </cell>
          <cell r="L136">
            <v>16000</v>
          </cell>
          <cell r="N136">
            <v>9486.619999999999</v>
          </cell>
          <cell r="O136">
            <v>0</v>
          </cell>
          <cell r="P136">
            <v>0</v>
          </cell>
          <cell r="Q136">
            <v>0</v>
          </cell>
          <cell r="R136">
            <v>9486.619999999999</v>
          </cell>
          <cell r="T136">
            <v>0</v>
          </cell>
          <cell r="U136">
            <v>9486.619999999999</v>
          </cell>
          <cell r="V136">
            <v>6513.380000000001</v>
          </cell>
        </row>
        <row r="137">
          <cell r="D137" t="str">
            <v>Conferência De Verticabilidade</v>
          </cell>
          <cell r="E137">
            <v>12</v>
          </cell>
          <cell r="F137" t="str">
            <v>mes</v>
          </cell>
          <cell r="G137">
            <v>24000</v>
          </cell>
          <cell r="H137">
            <v>0</v>
          </cell>
          <cell r="I137" t="str">
            <v>01.001.001.002 - Conferência De Verticabilidade</v>
          </cell>
          <cell r="J137" t="str">
            <v>3 - CUSTOS DIRETOS</v>
          </cell>
          <cell r="K137" t="str">
            <v>3 - CUSTOS DIRETOS1.001.001.002</v>
          </cell>
          <cell r="L137">
            <v>24000</v>
          </cell>
          <cell r="N137">
            <v>6618.6</v>
          </cell>
          <cell r="O137">
            <v>0</v>
          </cell>
          <cell r="P137">
            <v>0</v>
          </cell>
          <cell r="Q137">
            <v>0</v>
          </cell>
          <cell r="R137">
            <v>6618.6</v>
          </cell>
          <cell r="T137">
            <v>0</v>
          </cell>
          <cell r="U137">
            <v>6618.6</v>
          </cell>
          <cell r="V137">
            <v>17381.400000000001</v>
          </cell>
        </row>
        <row r="138">
          <cell r="D138" t="str">
            <v>Medição De Recalque Da Estrutura</v>
          </cell>
          <cell r="E138">
            <v>12</v>
          </cell>
          <cell r="F138" t="str">
            <v>mes</v>
          </cell>
          <cell r="G138">
            <v>24000</v>
          </cell>
          <cell r="H138">
            <v>0</v>
          </cell>
          <cell r="I138" t="str">
            <v>01.001.001.003 - Medição De Recalque Da Estrutura</v>
          </cell>
          <cell r="J138" t="str">
            <v>3 - CUSTOS DIRETOS</v>
          </cell>
          <cell r="K138" t="str">
            <v>3 - CUSTOS DIRETOS1.001.001.003</v>
          </cell>
          <cell r="L138">
            <v>24000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T138">
            <v>0</v>
          </cell>
          <cell r="U138">
            <v>0</v>
          </cell>
          <cell r="V138">
            <v>24000</v>
          </cell>
        </row>
        <row r="139">
          <cell r="D139" t="str">
            <v>Gabarito de Madeira</v>
          </cell>
          <cell r="E139">
            <v>156.07</v>
          </cell>
          <cell r="F139" t="str">
            <v>m</v>
          </cell>
          <cell r="G139">
            <v>16573.88</v>
          </cell>
          <cell r="H139">
            <v>0</v>
          </cell>
          <cell r="I139" t="str">
            <v>01.001.001.004 - Gabarito de Madeira</v>
          </cell>
          <cell r="J139" t="str">
            <v>3 - CUSTOS DIRETOS</v>
          </cell>
          <cell r="K139" t="str">
            <v>3 - CUSTOS DIRETOS1.001.001.004</v>
          </cell>
          <cell r="L139">
            <v>16573.88</v>
          </cell>
          <cell r="N139">
            <v>6344.5</v>
          </cell>
          <cell r="O139">
            <v>0</v>
          </cell>
          <cell r="P139">
            <v>0</v>
          </cell>
          <cell r="Q139">
            <v>0</v>
          </cell>
          <cell r="R139">
            <v>6344.5</v>
          </cell>
          <cell r="T139">
            <v>0</v>
          </cell>
          <cell r="U139">
            <v>6344.5</v>
          </cell>
          <cell r="V139">
            <v>10229.380000000001</v>
          </cell>
        </row>
        <row r="140">
          <cell r="D140" t="str">
            <v>MOVIMENTO DE TERRA</v>
          </cell>
          <cell r="I140" t="str">
            <v>01.002 - MOVIMENTO DE TERRA</v>
          </cell>
          <cell r="J140" t="str">
            <v>3 - CUSTOS DIRETOS</v>
          </cell>
          <cell r="K140" t="str">
            <v>3 - CUSTOS DIRETOS1.002</v>
          </cell>
          <cell r="L140">
            <v>98837.08</v>
          </cell>
          <cell r="N140">
            <v>145150.57999999999</v>
          </cell>
          <cell r="O140">
            <v>0</v>
          </cell>
          <cell r="P140">
            <v>0</v>
          </cell>
          <cell r="Q140">
            <v>0</v>
          </cell>
          <cell r="R140">
            <v>145150.57999999999</v>
          </cell>
          <cell r="T140">
            <v>0</v>
          </cell>
          <cell r="U140">
            <v>145150.57999999999</v>
          </cell>
          <cell r="V140">
            <v>-46313.499999999985</v>
          </cell>
        </row>
        <row r="141">
          <cell r="D141" t="str">
            <v>MOVIMENTO DE TERRA</v>
          </cell>
          <cell r="I141" t="str">
            <v>01.002.001 - MOVIMENTO DE TERRA</v>
          </cell>
          <cell r="J141" t="str">
            <v>3 - CUSTOS DIRETOS</v>
          </cell>
          <cell r="K141" t="str">
            <v>3 - CUSTOS DIRETOS1.002.001</v>
          </cell>
          <cell r="L141">
            <v>98837.08</v>
          </cell>
          <cell r="N141">
            <v>145150.57999999999</v>
          </cell>
          <cell r="O141">
            <v>0</v>
          </cell>
          <cell r="P141">
            <v>0</v>
          </cell>
          <cell r="Q141">
            <v>0</v>
          </cell>
          <cell r="R141">
            <v>145150.57999999999</v>
          </cell>
          <cell r="T141">
            <v>0</v>
          </cell>
          <cell r="U141">
            <v>145150.57999999999</v>
          </cell>
          <cell r="V141">
            <v>-46313.499999999985</v>
          </cell>
        </row>
        <row r="142">
          <cell r="D142" t="str">
            <v>Escavação Mecanizada - MOVIMENTO DE TERRA</v>
          </cell>
          <cell r="E142">
            <v>8236.4230000000007</v>
          </cell>
          <cell r="F142" t="str">
            <v>m3</v>
          </cell>
          <cell r="G142">
            <v>98837.08</v>
          </cell>
          <cell r="H142">
            <v>0</v>
          </cell>
          <cell r="I142" t="str">
            <v>01.002.001.001 - Escavação Mecanizada - MOVIMENTO DE TERRA</v>
          </cell>
          <cell r="J142" t="str">
            <v>3 - CUSTOS DIRETOS</v>
          </cell>
          <cell r="K142" t="str">
            <v>3 - CUSTOS DIRETOS1.002.001.001</v>
          </cell>
          <cell r="L142">
            <v>98837.08</v>
          </cell>
          <cell r="N142">
            <v>127778.07999999999</v>
          </cell>
          <cell r="O142">
            <v>0</v>
          </cell>
          <cell r="P142">
            <v>0</v>
          </cell>
          <cell r="Q142">
            <v>0</v>
          </cell>
          <cell r="R142">
            <v>127778.07999999999</v>
          </cell>
          <cell r="T142">
            <v>0</v>
          </cell>
          <cell r="U142">
            <v>127778.07999999999</v>
          </cell>
          <cell r="V142">
            <v>-28940.999999999985</v>
          </cell>
        </row>
        <row r="143">
          <cell r="D143" t="str">
            <v>Raspagem E Limpeza Do Terreno - MOVIMENTO DE TERRA</v>
          </cell>
          <cell r="E143">
            <v>0</v>
          </cell>
          <cell r="F143" t="str">
            <v>m3</v>
          </cell>
          <cell r="G143">
            <v>0</v>
          </cell>
          <cell r="H143">
            <v>0</v>
          </cell>
          <cell r="I143" t="str">
            <v>01.002.001.002 - Raspagem E Limpeza Do Terreno - MOVIMENTO DE TERRA</v>
          </cell>
          <cell r="J143" t="str">
            <v>3 - CUSTOS DIRETOS</v>
          </cell>
          <cell r="K143" t="str">
            <v>3 - CUSTOS DIRETOS1.002.001.002</v>
          </cell>
          <cell r="L143">
            <v>0</v>
          </cell>
          <cell r="N143">
            <v>17372.5</v>
          </cell>
          <cell r="O143">
            <v>0</v>
          </cell>
          <cell r="P143">
            <v>0</v>
          </cell>
          <cell r="Q143">
            <v>0</v>
          </cell>
          <cell r="R143">
            <v>17372.5</v>
          </cell>
          <cell r="T143">
            <v>0</v>
          </cell>
          <cell r="U143">
            <v>17372.5</v>
          </cell>
          <cell r="V143">
            <v>-17372.5</v>
          </cell>
        </row>
        <row r="144">
          <cell r="D144" t="str">
            <v>CONTENÇÃO</v>
          </cell>
          <cell r="I144" t="str">
            <v>01.003 - CONTENÇÃO</v>
          </cell>
          <cell r="J144" t="str">
            <v>3 - CUSTOS DIRETOS</v>
          </cell>
          <cell r="K144" t="str">
            <v>3 - CUSTOS DIRETOS1.003</v>
          </cell>
          <cell r="L144">
            <v>644368.6</v>
          </cell>
          <cell r="N144">
            <v>740758.89999999991</v>
          </cell>
          <cell r="O144">
            <v>0</v>
          </cell>
          <cell r="P144">
            <v>1711.28</v>
          </cell>
          <cell r="Q144">
            <v>1424</v>
          </cell>
          <cell r="R144">
            <v>743894.17999999993</v>
          </cell>
          <cell r="T144">
            <v>0</v>
          </cell>
          <cell r="U144">
            <v>743894.17999999993</v>
          </cell>
          <cell r="V144">
            <v>-99525.579999999958</v>
          </cell>
        </row>
        <row r="145">
          <cell r="D145" t="str">
            <v>ESTACA ESCAVADA</v>
          </cell>
          <cell r="I145" t="str">
            <v>01.003.001 - ESTACA ESCAVADA</v>
          </cell>
          <cell r="J145" t="str">
            <v>3 - CUSTOS DIRETOS</v>
          </cell>
          <cell r="K145" t="str">
            <v>3 - CUSTOS DIRETOS1.003.001</v>
          </cell>
          <cell r="L145">
            <v>422321.31</v>
          </cell>
          <cell r="N145">
            <v>497273.55999999994</v>
          </cell>
          <cell r="O145">
            <v>0</v>
          </cell>
          <cell r="P145">
            <v>1682.28</v>
          </cell>
          <cell r="Q145">
            <v>0</v>
          </cell>
          <cell r="R145">
            <v>498955.83999999997</v>
          </cell>
          <cell r="T145">
            <v>0</v>
          </cell>
          <cell r="U145">
            <v>498955.83999999997</v>
          </cell>
          <cell r="V145">
            <v>-76634.52999999997</v>
          </cell>
        </row>
        <row r="146">
          <cell r="D146" t="str">
            <v>Mobilização E Desmobilização De Equipamento Para Estaca Escavada</v>
          </cell>
          <cell r="E146">
            <v>1</v>
          </cell>
          <cell r="F146" t="str">
            <v>vb</v>
          </cell>
          <cell r="G146">
            <v>0</v>
          </cell>
          <cell r="H146">
            <v>0</v>
          </cell>
          <cell r="I146" t="str">
            <v>01.003.001.001 - Mobilização E Desmobilização De Equipamento Para Estaca Escavada</v>
          </cell>
          <cell r="J146" t="str">
            <v>3 - CUSTOS DIRETOS</v>
          </cell>
          <cell r="K146" t="str">
            <v>3 - CUSTOS DIRETOS1.003.001.001</v>
          </cell>
          <cell r="L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V146">
            <v>0</v>
          </cell>
        </row>
        <row r="147">
          <cell r="D147" t="str">
            <v>Locação Estaca Escavada / Gabarito</v>
          </cell>
          <cell r="E147">
            <v>1</v>
          </cell>
          <cell r="F147" t="str">
            <v>vb</v>
          </cell>
          <cell r="G147">
            <v>3500</v>
          </cell>
          <cell r="H147">
            <v>0</v>
          </cell>
          <cell r="I147" t="str">
            <v>01.003.001.002 - Locação Estaca Escavada / Gabarito</v>
          </cell>
          <cell r="J147" t="str">
            <v>3 - CUSTOS DIRETOS</v>
          </cell>
          <cell r="K147" t="str">
            <v>3 - CUSTOS DIRETOS1.003.001.002</v>
          </cell>
          <cell r="L147">
            <v>3500</v>
          </cell>
          <cell r="N147">
            <v>31370.570000000003</v>
          </cell>
          <cell r="O147">
            <v>0</v>
          </cell>
          <cell r="P147">
            <v>0</v>
          </cell>
          <cell r="Q147">
            <v>0</v>
          </cell>
          <cell r="R147">
            <v>31370.570000000003</v>
          </cell>
          <cell r="T147">
            <v>0</v>
          </cell>
          <cell r="U147">
            <v>31370.570000000003</v>
          </cell>
          <cell r="V147">
            <v>-27870.570000000003</v>
          </cell>
        </row>
        <row r="148">
          <cell r="D148" t="str">
            <v>Bota Fora Estaca - ESTACA ESCAVADA</v>
          </cell>
          <cell r="E148">
            <v>0</v>
          </cell>
          <cell r="F148" t="str">
            <v>m3</v>
          </cell>
          <cell r="G148">
            <v>0</v>
          </cell>
          <cell r="H148">
            <v>0</v>
          </cell>
          <cell r="I148" t="str">
            <v>01.003.001.003 - Bota Fora Estaca - ESTACA ESCAVADA</v>
          </cell>
          <cell r="J148" t="str">
            <v>3 - CUSTOS DIRETOS</v>
          </cell>
          <cell r="K148" t="str">
            <v>3 - CUSTOS DIRETOS1.003.001.003</v>
          </cell>
          <cell r="L148">
            <v>0</v>
          </cell>
          <cell r="N148">
            <v>2240</v>
          </cell>
          <cell r="O148">
            <v>0</v>
          </cell>
          <cell r="P148">
            <v>0</v>
          </cell>
          <cell r="Q148">
            <v>0</v>
          </cell>
          <cell r="R148">
            <v>2240</v>
          </cell>
          <cell r="T148">
            <v>0</v>
          </cell>
          <cell r="U148">
            <v>2240</v>
          </cell>
          <cell r="V148">
            <v>-2240</v>
          </cell>
        </row>
        <row r="149">
          <cell r="D149" t="str">
            <v>Corte, Dobra E Montagem De Aço Da Cortina - ESTACA ESCAVADA</v>
          </cell>
          <cell r="E149">
            <v>20405.935000000001</v>
          </cell>
          <cell r="F149" t="str">
            <v>kg</v>
          </cell>
          <cell r="G149">
            <v>193856.38</v>
          </cell>
          <cell r="H149">
            <v>0</v>
          </cell>
          <cell r="I149" t="str">
            <v>01.003.001.004 - Corte, Dobra E Montagem De Aço Da Cortina - ESTACA ESCAVADA</v>
          </cell>
          <cell r="J149" t="str">
            <v>3 - CUSTOS DIRETOS</v>
          </cell>
          <cell r="K149" t="str">
            <v>3 - CUSTOS DIRETOS1.003.001.004</v>
          </cell>
          <cell r="L149">
            <v>193856.38</v>
          </cell>
          <cell r="N149">
            <v>197920.5</v>
          </cell>
          <cell r="O149">
            <v>0</v>
          </cell>
          <cell r="P149">
            <v>0</v>
          </cell>
          <cell r="Q149">
            <v>0</v>
          </cell>
          <cell r="R149">
            <v>197920.5</v>
          </cell>
          <cell r="T149">
            <v>0</v>
          </cell>
          <cell r="U149">
            <v>197920.5</v>
          </cell>
          <cell r="V149">
            <v>-4064.1199999999953</v>
          </cell>
        </row>
        <row r="150">
          <cell r="D150" t="str">
            <v>Concreto Usinado Bombeável Fck 30 Mpa, Brita 0 E Slump 24+-3, 400Kg/M3 - ESTACA ESCAVADA</v>
          </cell>
          <cell r="E150">
            <v>134.45519999999999</v>
          </cell>
          <cell r="F150" t="str">
            <v>m3</v>
          </cell>
          <cell r="G150">
            <v>88740.43</v>
          </cell>
          <cell r="H150">
            <v>0</v>
          </cell>
          <cell r="I150" t="str">
            <v>01.003.001.005 - Concreto Usinado Bombeável Fck 30 Mpa, Brita 0 E Slump 24+-3, 400Kg/M3 - ESTACA ESCAVADA</v>
          </cell>
          <cell r="J150" t="str">
            <v>3 - CUSTOS DIRETOS</v>
          </cell>
          <cell r="K150" t="str">
            <v>3 - CUSTOS DIRETOS1.003.001.005</v>
          </cell>
          <cell r="L150">
            <v>88740.43</v>
          </cell>
          <cell r="N150">
            <v>110656.67000000001</v>
          </cell>
          <cell r="O150">
            <v>0</v>
          </cell>
          <cell r="P150">
            <v>0</v>
          </cell>
          <cell r="Q150">
            <v>0</v>
          </cell>
          <cell r="R150">
            <v>110656.67000000001</v>
          </cell>
          <cell r="T150">
            <v>0</v>
          </cell>
          <cell r="U150">
            <v>110656.67000000001</v>
          </cell>
          <cell r="V150">
            <v>-21916.24000000002</v>
          </cell>
        </row>
        <row r="151">
          <cell r="D151" t="str">
            <v>Escavação De Estaca Escavada D=35Cm</v>
          </cell>
          <cell r="E151">
            <v>1397.5</v>
          </cell>
          <cell r="F151" t="str">
            <v>vb</v>
          </cell>
          <cell r="G151">
            <v>48912.5</v>
          </cell>
          <cell r="H151">
            <v>0</v>
          </cell>
          <cell r="I151" t="str">
            <v>01.003.001.006 - Escavação De Estaca Escavada D=35Cm</v>
          </cell>
          <cell r="J151" t="str">
            <v>3 - CUSTOS DIRETOS</v>
          </cell>
          <cell r="K151" t="str">
            <v>3 - CUSTOS DIRETOS1.003.001.006</v>
          </cell>
          <cell r="L151">
            <v>48912.5</v>
          </cell>
          <cell r="N151">
            <v>24459.98</v>
          </cell>
          <cell r="O151">
            <v>0</v>
          </cell>
          <cell r="P151">
            <v>0</v>
          </cell>
          <cell r="Q151">
            <v>0</v>
          </cell>
          <cell r="R151">
            <v>24459.98</v>
          </cell>
          <cell r="T151">
            <v>0</v>
          </cell>
          <cell r="U151">
            <v>24459.98</v>
          </cell>
          <cell r="V151">
            <v>24452.52</v>
          </cell>
        </row>
        <row r="152">
          <cell r="D152" t="str">
            <v>Arrasamento De Estaca Escavada</v>
          </cell>
          <cell r="E152">
            <v>0</v>
          </cell>
          <cell r="F152" t="str">
            <v>un</v>
          </cell>
          <cell r="G152">
            <v>0</v>
          </cell>
          <cell r="H152">
            <v>0</v>
          </cell>
          <cell r="I152" t="str">
            <v>01.003.001.007 - Arrasamento De Estaca Escavada</v>
          </cell>
          <cell r="J152" t="str">
            <v>3 - CUSTOS DIRETOS</v>
          </cell>
          <cell r="K152" t="str">
            <v>3 - CUSTOS DIRETOS1.003.001.007</v>
          </cell>
          <cell r="L152">
            <v>0</v>
          </cell>
          <cell r="N152">
            <v>31637.41</v>
          </cell>
          <cell r="O152">
            <v>0</v>
          </cell>
          <cell r="P152">
            <v>0</v>
          </cell>
          <cell r="Q152">
            <v>0</v>
          </cell>
          <cell r="R152">
            <v>31637.41</v>
          </cell>
          <cell r="T152">
            <v>0</v>
          </cell>
          <cell r="U152">
            <v>31637.41</v>
          </cell>
          <cell r="V152">
            <v>-31637.41</v>
          </cell>
        </row>
        <row r="153">
          <cell r="D153" t="str">
            <v>Controle Tecnologico De Concreto - ESTACA ESCAVADA</v>
          </cell>
          <cell r="E153">
            <v>116</v>
          </cell>
          <cell r="F153" t="str">
            <v>un</v>
          </cell>
          <cell r="G153">
            <v>1682</v>
          </cell>
          <cell r="H153">
            <v>0</v>
          </cell>
          <cell r="I153" t="str">
            <v>01.003.001.008 - Controle Tecnologico De Concreto - ESTACA ESCAVADA</v>
          </cell>
          <cell r="J153" t="str">
            <v>3 - CUSTOS DIRETOS</v>
          </cell>
          <cell r="K153" t="str">
            <v>3 - CUSTOS DIRETOS1.003.001.008</v>
          </cell>
          <cell r="L153">
            <v>1682</v>
          </cell>
          <cell r="N153">
            <v>1987.77</v>
          </cell>
          <cell r="O153">
            <v>0</v>
          </cell>
          <cell r="P153">
            <v>1682.28</v>
          </cell>
          <cell r="Q153">
            <v>0</v>
          </cell>
          <cell r="R153">
            <v>3670.05</v>
          </cell>
          <cell r="T153">
            <v>0</v>
          </cell>
          <cell r="U153">
            <v>3670.05</v>
          </cell>
          <cell r="V153">
            <v>-1988.0500000000002</v>
          </cell>
        </row>
        <row r="154">
          <cell r="D154" t="str">
            <v>Execução De Grampos</v>
          </cell>
          <cell r="E154">
            <v>84</v>
          </cell>
          <cell r="F154" t="str">
            <v>m</v>
          </cell>
          <cell r="G154">
            <v>33180</v>
          </cell>
          <cell r="H154">
            <v>0</v>
          </cell>
          <cell r="I154" t="str">
            <v>01.003.001.009 - Execução De Grampos</v>
          </cell>
          <cell r="J154" t="str">
            <v>3 - CUSTOS DIRETOS</v>
          </cell>
          <cell r="K154" t="str">
            <v>3 - CUSTOS DIRETOS1.003.001.009</v>
          </cell>
          <cell r="L154">
            <v>33180</v>
          </cell>
          <cell r="N154">
            <v>30720.11</v>
          </cell>
          <cell r="O154">
            <v>0</v>
          </cell>
          <cell r="P154">
            <v>0</v>
          </cell>
          <cell r="Q154">
            <v>0</v>
          </cell>
          <cell r="R154">
            <v>30720.11</v>
          </cell>
          <cell r="T154">
            <v>0</v>
          </cell>
          <cell r="U154">
            <v>30720.11</v>
          </cell>
          <cell r="V154">
            <v>2459.8899999999994</v>
          </cell>
        </row>
        <row r="155">
          <cell r="D155" t="str">
            <v>Blocos De Ancoragem</v>
          </cell>
          <cell r="E155">
            <v>7</v>
          </cell>
          <cell r="F155" t="str">
            <v>m</v>
          </cell>
          <cell r="G155">
            <v>2450</v>
          </cell>
          <cell r="H155">
            <v>0</v>
          </cell>
          <cell r="I155" t="str">
            <v>01.003.001.010 - Blocos De Ancoragem</v>
          </cell>
          <cell r="J155" t="str">
            <v>3 - CUSTOS DIRETOS</v>
          </cell>
          <cell r="K155" t="str">
            <v>3 - CUSTOS DIRETOS1.003.001.010</v>
          </cell>
          <cell r="L155">
            <v>2450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T155">
            <v>0</v>
          </cell>
          <cell r="U155">
            <v>0</v>
          </cell>
          <cell r="V155">
            <v>2450</v>
          </cell>
        </row>
        <row r="156">
          <cell r="D156" t="str">
            <v>Drenagem</v>
          </cell>
          <cell r="E156">
            <v>1</v>
          </cell>
          <cell r="F156" t="str">
            <v>vb</v>
          </cell>
          <cell r="G156">
            <v>50000</v>
          </cell>
          <cell r="H156">
            <v>0</v>
          </cell>
          <cell r="I156" t="str">
            <v>01.003.001.011 - Drenagem</v>
          </cell>
          <cell r="J156" t="str">
            <v>3 - CUSTOS DIRETOS</v>
          </cell>
          <cell r="K156" t="str">
            <v>3 - CUSTOS DIRETOS1.003.001.011</v>
          </cell>
          <cell r="L156">
            <v>50000</v>
          </cell>
          <cell r="N156">
            <v>66280.55</v>
          </cell>
          <cell r="O156">
            <v>0</v>
          </cell>
          <cell r="P156">
            <v>0</v>
          </cell>
          <cell r="Q156">
            <v>0</v>
          </cell>
          <cell r="R156">
            <v>66280.55</v>
          </cell>
          <cell r="T156">
            <v>0</v>
          </cell>
          <cell r="U156">
            <v>66280.55</v>
          </cell>
          <cell r="V156">
            <v>-16280.550000000003</v>
          </cell>
        </row>
        <row r="157">
          <cell r="D157" t="str">
            <v>MURO DE ARRIMO</v>
          </cell>
          <cell r="I157" t="str">
            <v>01.003.002 - MURO DE ARRIMO</v>
          </cell>
          <cell r="J157" t="str">
            <v>3 - CUSTOS DIRETOS</v>
          </cell>
          <cell r="K157" t="str">
            <v>3 - CUSTOS DIRETOS1.003.002</v>
          </cell>
          <cell r="L157">
            <v>222047.29</v>
          </cell>
          <cell r="N157">
            <v>243485.33999999991</v>
          </cell>
          <cell r="O157">
            <v>0</v>
          </cell>
          <cell r="P157">
            <v>29</v>
          </cell>
          <cell r="Q157">
            <v>1424</v>
          </cell>
          <cell r="R157">
            <v>244938.33999999991</v>
          </cell>
          <cell r="T157">
            <v>0</v>
          </cell>
          <cell r="U157">
            <v>244938.33999999991</v>
          </cell>
          <cell r="V157">
            <v>-22891.049999999901</v>
          </cell>
        </row>
        <row r="158">
          <cell r="D158" t="str">
            <v>Locação Muro De Arrimo</v>
          </cell>
          <cell r="E158">
            <v>2</v>
          </cell>
          <cell r="F158" t="str">
            <v>vb</v>
          </cell>
          <cell r="G158">
            <v>3600</v>
          </cell>
          <cell r="H158">
            <v>0</v>
          </cell>
          <cell r="I158" t="str">
            <v>01.003.002.001 - Locação Muro De Arrimo</v>
          </cell>
          <cell r="J158" t="str">
            <v>3 - CUSTOS DIRETOS</v>
          </cell>
          <cell r="K158" t="str">
            <v>3 - CUSTOS DIRETOS1.003.002.001</v>
          </cell>
          <cell r="L158">
            <v>3600</v>
          </cell>
          <cell r="N158">
            <v>4782.9799999999996</v>
          </cell>
          <cell r="O158">
            <v>0</v>
          </cell>
          <cell r="P158">
            <v>0</v>
          </cell>
          <cell r="Q158">
            <v>0</v>
          </cell>
          <cell r="R158">
            <v>4782.9799999999996</v>
          </cell>
          <cell r="T158">
            <v>0</v>
          </cell>
          <cell r="U158">
            <v>4782.9799999999996</v>
          </cell>
          <cell r="V158">
            <v>-1182.9799999999996</v>
          </cell>
        </row>
        <row r="159">
          <cell r="D159" t="str">
            <v>Corte, Dobra E Montagem De Aço Muro De Arrimo</v>
          </cell>
          <cell r="E159">
            <v>2200.9</v>
          </cell>
          <cell r="F159" t="str">
            <v>kg</v>
          </cell>
          <cell r="G159">
            <v>20908.55</v>
          </cell>
          <cell r="H159">
            <v>0</v>
          </cell>
          <cell r="I159" t="str">
            <v>01.003.002.002 - Corte, Dobra E Montagem De Aço Muro De Arrimo</v>
          </cell>
          <cell r="J159" t="str">
            <v>3 - CUSTOS DIRETOS</v>
          </cell>
          <cell r="K159" t="str">
            <v>3 - CUSTOS DIRETOS1.003.002.002</v>
          </cell>
          <cell r="L159">
            <v>20908.55</v>
          </cell>
          <cell r="N159">
            <v>1950.9499999999998</v>
          </cell>
          <cell r="O159">
            <v>0</v>
          </cell>
          <cell r="P159">
            <v>0</v>
          </cell>
          <cell r="Q159">
            <v>0</v>
          </cell>
          <cell r="R159">
            <v>1950.9499999999998</v>
          </cell>
          <cell r="T159">
            <v>0</v>
          </cell>
          <cell r="U159">
            <v>1950.9499999999998</v>
          </cell>
          <cell r="V159">
            <v>18957.599999999999</v>
          </cell>
        </row>
        <row r="160">
          <cell r="D160" t="str">
            <v>Concreto Usinado Bombeável Fck 30 Mpa, Brita 0 E Slump 24+-3, 400Kg/M3 - MURO DE ARRIMO</v>
          </cell>
          <cell r="E160">
            <v>20.260000000000002</v>
          </cell>
          <cell r="F160" t="str">
            <v>m3</v>
          </cell>
          <cell r="G160">
            <v>13371.6</v>
          </cell>
          <cell r="H160">
            <v>0</v>
          </cell>
          <cell r="I160" t="str">
            <v>01.003.002.003 - Concreto Usinado Bombeável Fck 30 Mpa, Brita 0 E Slump 24+-3, 400Kg/M3 - MURO DE ARRIMO</v>
          </cell>
          <cell r="J160" t="str">
            <v>3 - CUSTOS DIRETOS</v>
          </cell>
          <cell r="K160" t="str">
            <v>3 - CUSTOS DIRETOS1.003.002.003</v>
          </cell>
          <cell r="L160">
            <v>13371.6</v>
          </cell>
          <cell r="N160">
            <v>9777.49</v>
          </cell>
          <cell r="O160">
            <v>0</v>
          </cell>
          <cell r="P160">
            <v>0</v>
          </cell>
          <cell r="Q160">
            <v>0</v>
          </cell>
          <cell r="R160">
            <v>9777.49</v>
          </cell>
          <cell r="T160">
            <v>0</v>
          </cell>
          <cell r="U160">
            <v>9777.49</v>
          </cell>
          <cell r="V160">
            <v>3594.1100000000006</v>
          </cell>
        </row>
        <row r="161">
          <cell r="D161" t="str">
            <v>Controle Tecnologico De Concreto - MURO DE ARRIMO</v>
          </cell>
          <cell r="E161">
            <v>2</v>
          </cell>
          <cell r="F161" t="str">
            <v>und</v>
          </cell>
          <cell r="G161">
            <v>29</v>
          </cell>
          <cell r="H161">
            <v>0</v>
          </cell>
          <cell r="I161" t="str">
            <v>01.003.002.004 - Controle Tecnologico De Concreto - MURO DE ARRIMO</v>
          </cell>
          <cell r="J161" t="str">
            <v>3 - CUSTOS DIRETOS</v>
          </cell>
          <cell r="K161" t="str">
            <v>3 - CUSTOS DIRETOS1.003.002.004</v>
          </cell>
          <cell r="L161">
            <v>29</v>
          </cell>
          <cell r="N161">
            <v>0</v>
          </cell>
          <cell r="O161">
            <v>0</v>
          </cell>
          <cell r="P161">
            <v>29</v>
          </cell>
          <cell r="Q161">
            <v>0</v>
          </cell>
          <cell r="R161">
            <v>29</v>
          </cell>
          <cell r="T161">
            <v>0</v>
          </cell>
          <cell r="U161">
            <v>29</v>
          </cell>
          <cell r="V161">
            <v>0</v>
          </cell>
        </row>
        <row r="162">
          <cell r="D162" t="str">
            <v>Muro De Arrimo Bloco De Concreto</v>
          </cell>
          <cell r="E162">
            <v>245.63</v>
          </cell>
          <cell r="F162" t="str">
            <v>m</v>
          </cell>
          <cell r="G162">
            <v>144138.14000000001</v>
          </cell>
          <cell r="H162">
            <v>0</v>
          </cell>
          <cell r="I162" t="str">
            <v>01.003.002.005 - Muro De Arrimo Bloco De Concreto</v>
          </cell>
          <cell r="J162" t="str">
            <v>3 - CUSTOS DIRETOS</v>
          </cell>
          <cell r="K162" t="str">
            <v>3 - CUSTOS DIRETOS1.003.002.005</v>
          </cell>
          <cell r="L162">
            <v>144138.14000000001</v>
          </cell>
          <cell r="N162">
            <v>92095.209999999992</v>
          </cell>
          <cell r="O162">
            <v>0</v>
          </cell>
          <cell r="P162">
            <v>0</v>
          </cell>
          <cell r="Q162">
            <v>1424</v>
          </cell>
          <cell r="R162">
            <v>93519.209999999992</v>
          </cell>
          <cell r="T162">
            <v>0</v>
          </cell>
          <cell r="U162">
            <v>93519.209999999992</v>
          </cell>
          <cell r="V162">
            <v>50618.930000000022</v>
          </cell>
        </row>
        <row r="163">
          <cell r="D163" t="str">
            <v>Drenagem E Impermeabilização Do Muro De Arrimo</v>
          </cell>
          <cell r="E163">
            <v>1</v>
          </cell>
          <cell r="F163" t="str">
            <v>vb</v>
          </cell>
          <cell r="G163">
            <v>40000</v>
          </cell>
          <cell r="H163">
            <v>0</v>
          </cell>
          <cell r="I163" t="str">
            <v>01.003.002.006 - Drenagem E Impermeabilização Do Muro De Arrimo</v>
          </cell>
          <cell r="J163" t="str">
            <v>3 - CUSTOS DIRETOS</v>
          </cell>
          <cell r="K163" t="str">
            <v>3 - CUSTOS DIRETOS1.003.002.006</v>
          </cell>
          <cell r="L163">
            <v>40000</v>
          </cell>
          <cell r="N163">
            <v>134878.70999999993</v>
          </cell>
          <cell r="O163">
            <v>0</v>
          </cell>
          <cell r="P163">
            <v>0</v>
          </cell>
          <cell r="Q163">
            <v>0</v>
          </cell>
          <cell r="R163">
            <v>134878.70999999993</v>
          </cell>
          <cell r="T163">
            <v>0</v>
          </cell>
          <cell r="U163">
            <v>134878.70999999993</v>
          </cell>
          <cell r="V163">
            <v>-94878.709999999934</v>
          </cell>
        </row>
        <row r="164">
          <cell r="D164" t="str">
            <v>FUNDAÇÃO</v>
          </cell>
          <cell r="I164" t="str">
            <v>01.004 - FUNDAÇÃO</v>
          </cell>
          <cell r="J164" t="str">
            <v>3 - CUSTOS DIRETOS</v>
          </cell>
          <cell r="K164" t="str">
            <v>3 - CUSTOS DIRETOS1.004</v>
          </cell>
          <cell r="L164">
            <v>1468780.31</v>
          </cell>
          <cell r="N164">
            <v>1441484.04</v>
          </cell>
          <cell r="O164">
            <v>0</v>
          </cell>
          <cell r="P164">
            <v>61.52</v>
          </cell>
          <cell r="Q164">
            <v>0</v>
          </cell>
          <cell r="R164">
            <v>1441545.56</v>
          </cell>
          <cell r="T164">
            <v>0</v>
          </cell>
          <cell r="U164">
            <v>1441545.56</v>
          </cell>
          <cell r="V164">
            <v>27234.75</v>
          </cell>
        </row>
        <row r="165">
          <cell r="D165" t="str">
            <v>ESTACAS HÉLICE</v>
          </cell>
          <cell r="I165" t="str">
            <v>01.004.001 - ESTACAS HÉLICE</v>
          </cell>
          <cell r="J165" t="str">
            <v>3 - CUSTOS DIRETOS</v>
          </cell>
          <cell r="K165" t="str">
            <v>3 - CUSTOS DIRETOS1.004.001</v>
          </cell>
          <cell r="L165">
            <v>1023704.97</v>
          </cell>
          <cell r="N165">
            <v>838736.86</v>
          </cell>
          <cell r="O165">
            <v>0</v>
          </cell>
          <cell r="P165">
            <v>0</v>
          </cell>
          <cell r="Q165">
            <v>0</v>
          </cell>
          <cell r="R165">
            <v>838736.86</v>
          </cell>
          <cell r="T165">
            <v>0</v>
          </cell>
          <cell r="U165">
            <v>838736.86</v>
          </cell>
          <cell r="V165">
            <v>184968.11</v>
          </cell>
        </row>
        <row r="166">
          <cell r="D166" t="str">
            <v>Mobilização Equipamento Para Estaca Hélice</v>
          </cell>
          <cell r="E166">
            <v>1</v>
          </cell>
          <cell r="F166" t="str">
            <v>vb</v>
          </cell>
          <cell r="G166">
            <v>9800</v>
          </cell>
          <cell r="H166">
            <v>0</v>
          </cell>
          <cell r="I166" t="str">
            <v>01.004.001.001 - Mobilização Equipamento Para Estaca Hélice</v>
          </cell>
          <cell r="J166" t="str">
            <v>3 - CUSTOS DIRETOS</v>
          </cell>
          <cell r="K166" t="str">
            <v>3 - CUSTOS DIRETOS1.004.001.001</v>
          </cell>
          <cell r="L166">
            <v>9800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T166">
            <v>0</v>
          </cell>
          <cell r="U166">
            <v>0</v>
          </cell>
          <cell r="V166">
            <v>9800</v>
          </cell>
        </row>
        <row r="167">
          <cell r="D167" t="str">
            <v>Escavação De Estaca Hélice</v>
          </cell>
          <cell r="E167">
            <v>3669</v>
          </cell>
          <cell r="F167" t="str">
            <v>m</v>
          </cell>
          <cell r="G167">
            <v>176112</v>
          </cell>
          <cell r="H167">
            <v>0</v>
          </cell>
          <cell r="I167" t="str">
            <v>01.004.001.002 - Escavação De Estaca Hélice</v>
          </cell>
          <cell r="J167" t="str">
            <v>3 - CUSTOS DIRETOS</v>
          </cell>
          <cell r="K167" t="str">
            <v>3 - CUSTOS DIRETOS1.004.001.002</v>
          </cell>
          <cell r="L167">
            <v>176112</v>
          </cell>
          <cell r="N167">
            <v>182958.72</v>
          </cell>
          <cell r="O167">
            <v>0</v>
          </cell>
          <cell r="P167">
            <v>0</v>
          </cell>
          <cell r="Q167">
            <v>0</v>
          </cell>
          <cell r="R167">
            <v>182958.72</v>
          </cell>
          <cell r="T167">
            <v>0</v>
          </cell>
          <cell r="U167">
            <v>182958.72</v>
          </cell>
          <cell r="V167">
            <v>-6846.7200000000012</v>
          </cell>
        </row>
        <row r="168">
          <cell r="D168" t="str">
            <v>Preparo Cabeça De Estacas</v>
          </cell>
          <cell r="E168">
            <v>317</v>
          </cell>
          <cell r="F168" t="str">
            <v>un</v>
          </cell>
          <cell r="G168">
            <v>79250</v>
          </cell>
          <cell r="H168">
            <v>0</v>
          </cell>
          <cell r="I168" t="str">
            <v>01.004.001.003 - Preparo Cabeça De Estacas</v>
          </cell>
          <cell r="J168" t="str">
            <v>3 - CUSTOS DIRETOS</v>
          </cell>
          <cell r="K168" t="str">
            <v>3 - CUSTOS DIRETOS1.004.001.003</v>
          </cell>
          <cell r="L168">
            <v>79250</v>
          </cell>
          <cell r="N168">
            <v>3499.46</v>
          </cell>
          <cell r="O168">
            <v>0</v>
          </cell>
          <cell r="P168">
            <v>0</v>
          </cell>
          <cell r="Q168">
            <v>0</v>
          </cell>
          <cell r="R168">
            <v>3499.46</v>
          </cell>
          <cell r="T168">
            <v>0</v>
          </cell>
          <cell r="U168">
            <v>3499.46</v>
          </cell>
          <cell r="V168">
            <v>75750.539999999994</v>
          </cell>
        </row>
        <row r="169">
          <cell r="D169" t="str">
            <v>Retirada De Material Escavado - Estacas Hélice</v>
          </cell>
          <cell r="E169">
            <v>4769.7</v>
          </cell>
          <cell r="F169" t="str">
            <v>m3</v>
          </cell>
          <cell r="G169">
            <v>238485</v>
          </cell>
          <cell r="H169">
            <v>0</v>
          </cell>
          <cell r="I169" t="str">
            <v>01.004.001.004 - Retirada De Material Escavado - Estacas Hélice</v>
          </cell>
          <cell r="J169" t="str">
            <v>3 - CUSTOS DIRETOS</v>
          </cell>
          <cell r="K169" t="str">
            <v>3 - CUSTOS DIRETOS1.004.001.004</v>
          </cell>
          <cell r="L169">
            <v>238485</v>
          </cell>
          <cell r="N169">
            <v>132414.03</v>
          </cell>
          <cell r="O169">
            <v>0</v>
          </cell>
          <cell r="P169">
            <v>0</v>
          </cell>
          <cell r="Q169">
            <v>0</v>
          </cell>
          <cell r="R169">
            <v>132414.03</v>
          </cell>
          <cell r="T169">
            <v>0</v>
          </cell>
          <cell r="U169">
            <v>132414.03</v>
          </cell>
          <cell r="V169">
            <v>106070.97</v>
          </cell>
        </row>
        <row r="170">
          <cell r="D170" t="str">
            <v>Corte, Dobra E Montagem De Aço - Estacas E Tubulão</v>
          </cell>
          <cell r="E170">
            <v>12323.58</v>
          </cell>
          <cell r="F170" t="str">
            <v>kg</v>
          </cell>
          <cell r="G170">
            <v>123482.27</v>
          </cell>
          <cell r="H170">
            <v>0</v>
          </cell>
          <cell r="I170" t="str">
            <v>01.004.001.005 - Corte, Dobra E Montagem De Aço - Estacas E Tubulão</v>
          </cell>
          <cell r="J170" t="str">
            <v>3 - CUSTOS DIRETOS</v>
          </cell>
          <cell r="K170" t="str">
            <v>3 - CUSTOS DIRETOS1.004.001.005</v>
          </cell>
          <cell r="L170">
            <v>123482.27</v>
          </cell>
          <cell r="N170">
            <v>98352.99</v>
          </cell>
          <cell r="O170">
            <v>0</v>
          </cell>
          <cell r="P170">
            <v>0</v>
          </cell>
          <cell r="Q170">
            <v>0</v>
          </cell>
          <cell r="R170">
            <v>98352.99</v>
          </cell>
          <cell r="T170">
            <v>0</v>
          </cell>
          <cell r="U170">
            <v>98352.99</v>
          </cell>
          <cell r="V170">
            <v>25129.279999999999</v>
          </cell>
        </row>
        <row r="171">
          <cell r="D171" t="str">
            <v>Concreto Usinado Bombeável Fck - ESTACAS HÉLICE</v>
          </cell>
          <cell r="E171">
            <v>530.27</v>
          </cell>
          <cell r="F171" t="str">
            <v>m3</v>
          </cell>
          <cell r="G171">
            <v>349978.2</v>
          </cell>
          <cell r="H171">
            <v>0</v>
          </cell>
          <cell r="I171" t="str">
            <v>01.004.001.006 - Concreto Usinado Bombeável Fck - ESTACAS HÉLICE</v>
          </cell>
          <cell r="J171" t="str">
            <v>3 - CUSTOS DIRETOS</v>
          </cell>
          <cell r="K171" t="str">
            <v>3 - CUSTOS DIRETOS1.004.001.006</v>
          </cell>
          <cell r="L171">
            <v>349978.2</v>
          </cell>
          <cell r="N171">
            <v>376714.23999999999</v>
          </cell>
          <cell r="O171">
            <v>0</v>
          </cell>
          <cell r="P171">
            <v>0</v>
          </cell>
          <cell r="Q171">
            <v>0</v>
          </cell>
          <cell r="R171">
            <v>376714.23999999999</v>
          </cell>
          <cell r="T171">
            <v>0</v>
          </cell>
          <cell r="U171">
            <v>376714.23999999999</v>
          </cell>
          <cell r="V171">
            <v>-26736.039999999979</v>
          </cell>
        </row>
        <row r="172">
          <cell r="D172" t="str">
            <v>Controle Tecnologico Do Concreto - ESTACAS HÉLICE</v>
          </cell>
          <cell r="E172">
            <v>455</v>
          </cell>
          <cell r="F172" t="str">
            <v>un</v>
          </cell>
          <cell r="G172">
            <v>6597.5</v>
          </cell>
          <cell r="H172">
            <v>0</v>
          </cell>
          <cell r="I172" t="str">
            <v>01.004.001.007 - Controle Tecnologico Do Concreto - ESTACAS HÉLICE</v>
          </cell>
          <cell r="J172" t="str">
            <v>3 - CUSTOS DIRETOS</v>
          </cell>
          <cell r="K172" t="str">
            <v>3 - CUSTOS DIRETOS1.004.001.007</v>
          </cell>
          <cell r="L172">
            <v>6597.5</v>
          </cell>
          <cell r="N172">
            <v>5029.42</v>
          </cell>
          <cell r="O172">
            <v>0</v>
          </cell>
          <cell r="P172">
            <v>0</v>
          </cell>
          <cell r="Q172">
            <v>0</v>
          </cell>
          <cell r="R172">
            <v>5029.42</v>
          </cell>
          <cell r="T172">
            <v>0</v>
          </cell>
          <cell r="U172">
            <v>5029.42</v>
          </cell>
          <cell r="V172">
            <v>1568.08</v>
          </cell>
        </row>
        <row r="173">
          <cell r="D173" t="str">
            <v>Execução De Prova De Carga Estática  - ESTACAS HÉLICE</v>
          </cell>
          <cell r="E173">
            <v>1</v>
          </cell>
          <cell r="F173" t="str">
            <v>vb</v>
          </cell>
          <cell r="G173">
            <v>40000</v>
          </cell>
          <cell r="H173">
            <v>0</v>
          </cell>
          <cell r="I173" t="str">
            <v>01.004.001.008 - Execução De Prova De Carga Estática  - ESTACAS HÉLICE</v>
          </cell>
          <cell r="J173" t="str">
            <v>3 - CUSTOS DIRETOS</v>
          </cell>
          <cell r="K173" t="str">
            <v>3 - CUSTOS DIRETOS1.004.001.008</v>
          </cell>
          <cell r="L173">
            <v>40000</v>
          </cell>
          <cell r="N173">
            <v>39768</v>
          </cell>
          <cell r="O173">
            <v>0</v>
          </cell>
          <cell r="P173">
            <v>0</v>
          </cell>
          <cell r="Q173">
            <v>0</v>
          </cell>
          <cell r="R173">
            <v>39768</v>
          </cell>
          <cell r="T173">
            <v>0</v>
          </cell>
          <cell r="U173">
            <v>39768</v>
          </cell>
          <cell r="V173">
            <v>232</v>
          </cell>
        </row>
        <row r="174">
          <cell r="D174" t="str">
            <v>ESTIMATIVA DE BLOCOS</v>
          </cell>
          <cell r="I174" t="str">
            <v>01.004.002 - ESTIMATIVA DE BLOCOS</v>
          </cell>
          <cell r="J174" t="str">
            <v>3 - CUSTOS DIRETOS</v>
          </cell>
          <cell r="K174" t="str">
            <v>3 - CUSTOS DIRETOS1.004.002</v>
          </cell>
          <cell r="L174">
            <v>432810.32</v>
          </cell>
          <cell r="N174">
            <v>597741.44999999995</v>
          </cell>
          <cell r="O174">
            <v>0</v>
          </cell>
          <cell r="P174">
            <v>61.52</v>
          </cell>
          <cell r="Q174">
            <v>0</v>
          </cell>
          <cell r="R174">
            <v>597802.97</v>
          </cell>
          <cell r="T174">
            <v>0</v>
          </cell>
          <cell r="U174">
            <v>597802.97</v>
          </cell>
          <cell r="V174">
            <v>-164992.64999999997</v>
          </cell>
        </row>
        <row r="175">
          <cell r="D175" t="str">
            <v>Escavação De Blocos</v>
          </cell>
          <cell r="E175">
            <v>321.10000000000002</v>
          </cell>
          <cell r="F175" t="str">
            <v>m3</v>
          </cell>
          <cell r="G175">
            <v>48165</v>
          </cell>
          <cell r="H175">
            <v>0</v>
          </cell>
          <cell r="I175" t="str">
            <v>01.004.002.001 - Escavação De Blocos</v>
          </cell>
          <cell r="J175" t="str">
            <v>3 - CUSTOS DIRETOS</v>
          </cell>
          <cell r="K175" t="str">
            <v>3 - CUSTOS DIRETOS1.004.002.001</v>
          </cell>
          <cell r="L175">
            <v>48165</v>
          </cell>
          <cell r="N175">
            <v>63213.919999999998</v>
          </cell>
          <cell r="O175">
            <v>0</v>
          </cell>
          <cell r="P175">
            <v>0</v>
          </cell>
          <cell r="Q175">
            <v>0</v>
          </cell>
          <cell r="R175">
            <v>63213.919999999998</v>
          </cell>
          <cell r="T175">
            <v>0</v>
          </cell>
          <cell r="U175">
            <v>63213.919999999998</v>
          </cell>
          <cell r="V175">
            <v>-15048.919999999998</v>
          </cell>
        </row>
        <row r="176">
          <cell r="D176" t="str">
            <v>Reaterro Compactado - BLOCOS</v>
          </cell>
          <cell r="E176">
            <v>74.099999999999994</v>
          </cell>
          <cell r="F176" t="str">
            <v>m3</v>
          </cell>
          <cell r="G176">
            <v>4075.5</v>
          </cell>
          <cell r="H176">
            <v>0</v>
          </cell>
          <cell r="I176" t="str">
            <v>01.004.002.002 - Reaterro Compactado - BLOCOS</v>
          </cell>
          <cell r="J176" t="str">
            <v>3 - CUSTOS DIRETOS</v>
          </cell>
          <cell r="K176" t="str">
            <v>3 - CUSTOS DIRETOS1.004.002.002</v>
          </cell>
          <cell r="L176">
            <v>4075.5</v>
          </cell>
          <cell r="N176">
            <v>29124.809999999998</v>
          </cell>
          <cell r="O176">
            <v>0</v>
          </cell>
          <cell r="P176">
            <v>0</v>
          </cell>
          <cell r="Q176">
            <v>0</v>
          </cell>
          <cell r="R176">
            <v>29124.809999999998</v>
          </cell>
          <cell r="T176">
            <v>0</v>
          </cell>
          <cell r="U176">
            <v>29124.809999999998</v>
          </cell>
          <cell r="V176">
            <v>-25049.309999999998</v>
          </cell>
        </row>
        <row r="177">
          <cell r="D177" t="str">
            <v>Retirada De Material Escavado - BLOCOS</v>
          </cell>
          <cell r="E177">
            <v>321.10000000000002</v>
          </cell>
          <cell r="F177" t="str">
            <v>m3</v>
          </cell>
          <cell r="G177">
            <v>11238.5</v>
          </cell>
          <cell r="H177">
            <v>0</v>
          </cell>
          <cell r="I177" t="str">
            <v>01.004.002.003 - Retirada De Material Escavado - BLOCOS</v>
          </cell>
          <cell r="J177" t="str">
            <v>3 - CUSTOS DIRETOS</v>
          </cell>
          <cell r="K177" t="str">
            <v>3 - CUSTOS DIRETOS1.004.002.003</v>
          </cell>
          <cell r="L177">
            <v>11238.5</v>
          </cell>
          <cell r="N177">
            <v>35509.24</v>
          </cell>
          <cell r="O177">
            <v>0</v>
          </cell>
          <cell r="P177">
            <v>0</v>
          </cell>
          <cell r="Q177">
            <v>0</v>
          </cell>
          <cell r="R177">
            <v>35509.24</v>
          </cell>
          <cell r="T177">
            <v>0</v>
          </cell>
          <cell r="U177">
            <v>35509.24</v>
          </cell>
          <cell r="V177">
            <v>-24270.739999999998</v>
          </cell>
        </row>
        <row r="178">
          <cell r="D178" t="str">
            <v>Corte, Dobra E Montagem De Aço - BLOCOS</v>
          </cell>
          <cell r="E178">
            <v>18667</v>
          </cell>
          <cell r="F178" t="str">
            <v>kg</v>
          </cell>
          <cell r="G178">
            <v>187043.34</v>
          </cell>
          <cell r="H178">
            <v>0</v>
          </cell>
          <cell r="I178" t="str">
            <v>01.004.002.004 - Corte, Dobra E Montagem De Aço - BLOCOS</v>
          </cell>
          <cell r="J178" t="str">
            <v>3 - CUSTOS DIRETOS</v>
          </cell>
          <cell r="K178" t="str">
            <v>3 - CUSTOS DIRETOS1.004.002.004</v>
          </cell>
          <cell r="L178">
            <v>187043.34</v>
          </cell>
          <cell r="N178">
            <v>172104.56</v>
          </cell>
          <cell r="O178">
            <v>0</v>
          </cell>
          <cell r="P178">
            <v>0</v>
          </cell>
          <cell r="Q178">
            <v>0</v>
          </cell>
          <cell r="R178">
            <v>172104.56</v>
          </cell>
          <cell r="T178">
            <v>0</v>
          </cell>
          <cell r="U178">
            <v>172104.56</v>
          </cell>
          <cell r="V178">
            <v>14938.779999999999</v>
          </cell>
        </row>
        <row r="179">
          <cell r="D179" t="str">
            <v>Lastro De Concreto E=5Cm - BLOCOS</v>
          </cell>
          <cell r="E179">
            <v>7.58</v>
          </cell>
          <cell r="F179" t="str">
            <v>m3</v>
          </cell>
          <cell r="G179">
            <v>4214.4799999999996</v>
          </cell>
          <cell r="H179">
            <v>0</v>
          </cell>
          <cell r="I179" t="str">
            <v>01.004.002.005 - Lastro De Concreto E=5Cm - BLOCOS</v>
          </cell>
          <cell r="J179" t="str">
            <v>3 - CUSTOS DIRETOS</v>
          </cell>
          <cell r="K179" t="str">
            <v>3 - CUSTOS DIRETOS1.004.002.005</v>
          </cell>
          <cell r="L179">
            <v>4214.4799999999996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T179">
            <v>0</v>
          </cell>
          <cell r="U179">
            <v>0</v>
          </cell>
          <cell r="V179">
            <v>4214.4799999999996</v>
          </cell>
        </row>
        <row r="180">
          <cell r="D180" t="str">
            <v>Concreto Usinado Bombeável - BLOCOS</v>
          </cell>
          <cell r="E180">
            <v>247</v>
          </cell>
          <cell r="F180" t="str">
            <v>m3</v>
          </cell>
          <cell r="G180">
            <v>164378.5</v>
          </cell>
          <cell r="H180">
            <v>0</v>
          </cell>
          <cell r="I180" t="str">
            <v>01.004.002.006 - Concreto Usinado Bombeável - BLOCOS</v>
          </cell>
          <cell r="J180" t="str">
            <v>3 - CUSTOS DIRETOS</v>
          </cell>
          <cell r="K180" t="str">
            <v>3 - CUSTOS DIRETOS1.004.002.006</v>
          </cell>
          <cell r="L180">
            <v>164378.5</v>
          </cell>
          <cell r="N180">
            <v>264003.95</v>
          </cell>
          <cell r="O180">
            <v>0</v>
          </cell>
          <cell r="P180">
            <v>0</v>
          </cell>
          <cell r="Q180">
            <v>0</v>
          </cell>
          <cell r="R180">
            <v>264003.95</v>
          </cell>
          <cell r="T180">
            <v>0</v>
          </cell>
          <cell r="U180">
            <v>264003.95</v>
          </cell>
          <cell r="V180">
            <v>-99625.450000000012</v>
          </cell>
        </row>
        <row r="181">
          <cell r="D181" t="str">
            <v>Lançamento De Concreto - BLOCOS</v>
          </cell>
          <cell r="E181">
            <v>247</v>
          </cell>
          <cell r="F181" t="str">
            <v>m3</v>
          </cell>
          <cell r="G181">
            <v>10621</v>
          </cell>
          <cell r="H181">
            <v>0</v>
          </cell>
          <cell r="I181" t="str">
            <v>01.004.002.007 - Lançamento De Concreto - BLOCOS</v>
          </cell>
          <cell r="J181" t="str">
            <v>3 - CUSTOS DIRETOS</v>
          </cell>
          <cell r="K181" t="str">
            <v>3 - CUSTOS DIRETOS1.004.002.007</v>
          </cell>
          <cell r="L181">
            <v>10621</v>
          </cell>
          <cell r="N181">
            <v>29390.32</v>
          </cell>
          <cell r="O181">
            <v>0</v>
          </cell>
          <cell r="P181">
            <v>0</v>
          </cell>
          <cell r="Q181">
            <v>0</v>
          </cell>
          <cell r="R181">
            <v>29390.32</v>
          </cell>
          <cell r="T181">
            <v>0</v>
          </cell>
          <cell r="U181">
            <v>29390.32</v>
          </cell>
          <cell r="V181">
            <v>-18769.32</v>
          </cell>
        </row>
        <row r="182">
          <cell r="D182" t="str">
            <v>Controle Tecnologico Do Concreto - BLOCOS</v>
          </cell>
          <cell r="E182">
            <v>212</v>
          </cell>
          <cell r="F182" t="str">
            <v>un</v>
          </cell>
          <cell r="G182">
            <v>3074</v>
          </cell>
          <cell r="H182">
            <v>0</v>
          </cell>
          <cell r="I182" t="str">
            <v>01.004.002.008 - Controle Tecnologico Do Concreto - BLOCOS</v>
          </cell>
          <cell r="J182" t="str">
            <v>3 - CUSTOS DIRETOS</v>
          </cell>
          <cell r="K182" t="str">
            <v>3 - CUSTOS DIRETOS1.004.002.008</v>
          </cell>
          <cell r="L182">
            <v>3074</v>
          </cell>
          <cell r="N182">
            <v>2833.05</v>
          </cell>
          <cell r="O182">
            <v>0</v>
          </cell>
          <cell r="P182">
            <v>61.52</v>
          </cell>
          <cell r="Q182">
            <v>0</v>
          </cell>
          <cell r="R182">
            <v>2894.57</v>
          </cell>
          <cell r="T182">
            <v>0</v>
          </cell>
          <cell r="U182">
            <v>2894.57</v>
          </cell>
          <cell r="V182">
            <v>179.42999999999984</v>
          </cell>
        </row>
        <row r="183">
          <cell r="D183" t="str">
            <v>Formas dos Blocos</v>
          </cell>
          <cell r="E183">
            <v>0</v>
          </cell>
          <cell r="F183" t="str">
            <v>m2</v>
          </cell>
          <cell r="G183">
            <v>0</v>
          </cell>
          <cell r="H183">
            <v>0</v>
          </cell>
          <cell r="I183" t="str">
            <v>01.004.002.009 - Formas dos Blocos</v>
          </cell>
          <cell r="J183" t="str">
            <v>3 - CUSTOS DIRETOS</v>
          </cell>
          <cell r="K183" t="str">
            <v>3 - CUSTOS DIRETOS1.004.002.009</v>
          </cell>
          <cell r="L183">
            <v>0</v>
          </cell>
          <cell r="N183">
            <v>1561.6</v>
          </cell>
          <cell r="O183">
            <v>0</v>
          </cell>
          <cell r="P183">
            <v>0</v>
          </cell>
          <cell r="Q183">
            <v>0</v>
          </cell>
          <cell r="R183">
            <v>1561.6</v>
          </cell>
          <cell r="T183">
            <v>0</v>
          </cell>
          <cell r="U183">
            <v>1561.6</v>
          </cell>
          <cell r="V183">
            <v>-1561.6</v>
          </cell>
        </row>
        <row r="184">
          <cell r="D184" t="str">
            <v>TUBULÃO</v>
          </cell>
          <cell r="I184" t="str">
            <v>01.004.003 - TUBULÃO</v>
          </cell>
          <cell r="J184" t="str">
            <v>3 - CUSTOS DIRETOS</v>
          </cell>
          <cell r="K184" t="str">
            <v>3 - CUSTOS DIRETOS1.004.003</v>
          </cell>
          <cell r="L184">
            <v>12265.02</v>
          </cell>
          <cell r="N184">
            <v>5005.7299999999996</v>
          </cell>
          <cell r="O184">
            <v>0</v>
          </cell>
          <cell r="P184">
            <v>0</v>
          </cell>
          <cell r="Q184">
            <v>0</v>
          </cell>
          <cell r="R184">
            <v>5005.7299999999996</v>
          </cell>
          <cell r="T184">
            <v>0</v>
          </cell>
          <cell r="U184">
            <v>5005.7299999999996</v>
          </cell>
          <cell r="V184">
            <v>7259.2900000000009</v>
          </cell>
        </row>
        <row r="185">
          <cell r="D185" t="str">
            <v>Mobilização E Desmobilização De Maquinás E Equipamentos - TUBULÃO</v>
          </cell>
          <cell r="E185">
            <v>1</v>
          </cell>
          <cell r="F185" t="str">
            <v>vb</v>
          </cell>
          <cell r="G185">
            <v>0</v>
          </cell>
          <cell r="H185">
            <v>0</v>
          </cell>
          <cell r="I185" t="str">
            <v>01.004.003.001 - Mobilização E Desmobilização De Maquinás E Equipamentos - TUBULÃO</v>
          </cell>
          <cell r="J185" t="str">
            <v>3 - CUSTOS DIRETOS</v>
          </cell>
          <cell r="K185" t="str">
            <v>3 - CUSTOS DIRETOS1.004.003.001</v>
          </cell>
          <cell r="L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V185">
            <v>0</v>
          </cell>
        </row>
        <row r="186">
          <cell r="D186" t="str">
            <v>Escavação De Tubulão Ø90 - TUBULÃO</v>
          </cell>
          <cell r="E186">
            <v>9.93</v>
          </cell>
          <cell r="F186" t="str">
            <v>m3</v>
          </cell>
          <cell r="G186">
            <v>2184.6</v>
          </cell>
          <cell r="H186">
            <v>0</v>
          </cell>
          <cell r="I186" t="str">
            <v>01.004.003.002 - Escavação De Tubulão Ø90 - TUBULÃO</v>
          </cell>
          <cell r="J186" t="str">
            <v>3 - CUSTOS DIRETOS</v>
          </cell>
          <cell r="K186" t="str">
            <v>3 - CUSTOS DIRETOS1.004.003.002</v>
          </cell>
          <cell r="L186">
            <v>2184.6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T186">
            <v>0</v>
          </cell>
          <cell r="U186">
            <v>0</v>
          </cell>
          <cell r="V186">
            <v>2184.6</v>
          </cell>
        </row>
        <row r="187">
          <cell r="D187" t="str">
            <v>Retirada De Material Escavado (Empolamento 30%) - TUBULÃO</v>
          </cell>
          <cell r="E187">
            <v>9.93</v>
          </cell>
          <cell r="F187" t="str">
            <v>m3</v>
          </cell>
          <cell r="G187">
            <v>620.63</v>
          </cell>
          <cell r="H187">
            <v>0</v>
          </cell>
          <cell r="I187" t="str">
            <v>01.004.003.003 - Retirada De Material Escavado (Empolamento 30%) - TUBULÃO</v>
          </cell>
          <cell r="J187" t="str">
            <v>3 - CUSTOS DIRETOS</v>
          </cell>
          <cell r="K187" t="str">
            <v>3 - CUSTOS DIRETOS1.004.003.003</v>
          </cell>
          <cell r="L187">
            <v>620.63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T187">
            <v>0</v>
          </cell>
          <cell r="U187">
            <v>0</v>
          </cell>
          <cell r="V187">
            <v>620.63</v>
          </cell>
        </row>
        <row r="188">
          <cell r="D188" t="str">
            <v>Encamisamento De Tubulão</v>
          </cell>
          <cell r="E188">
            <v>1</v>
          </cell>
          <cell r="F188" t="str">
            <v>vb</v>
          </cell>
          <cell r="G188">
            <v>4352.5600000000004</v>
          </cell>
          <cell r="H188">
            <v>0</v>
          </cell>
          <cell r="I188" t="str">
            <v>01.004.003.004 - Encamisamento De Tubulão</v>
          </cell>
          <cell r="J188" t="str">
            <v>3 - CUSTOS DIRETOS</v>
          </cell>
          <cell r="K188" t="str">
            <v>3 - CUSTOS DIRETOS1.004.003.004</v>
          </cell>
          <cell r="L188">
            <v>4352.5600000000004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T188">
            <v>0</v>
          </cell>
          <cell r="U188">
            <v>0</v>
          </cell>
          <cell r="V188">
            <v>4352.5600000000004</v>
          </cell>
        </row>
        <row r="189">
          <cell r="D189" t="str">
            <v>Concreto Usinado Viga Bombeável - TUBULÃO</v>
          </cell>
          <cell r="E189">
            <v>7.64</v>
          </cell>
          <cell r="F189" t="str">
            <v>m3</v>
          </cell>
          <cell r="G189">
            <v>5005.7299999999996</v>
          </cell>
          <cell r="H189">
            <v>0</v>
          </cell>
          <cell r="I189" t="str">
            <v>01.004.003.005 - Concreto Usinado Viga Bombeável - TUBULÃO</v>
          </cell>
          <cell r="J189" t="str">
            <v>3 - CUSTOS DIRETOS</v>
          </cell>
          <cell r="K189" t="str">
            <v>3 - CUSTOS DIRETOS1.004.003.005</v>
          </cell>
          <cell r="L189">
            <v>5005.7299999999996</v>
          </cell>
          <cell r="N189">
            <v>5005.7299999999996</v>
          </cell>
          <cell r="O189">
            <v>0</v>
          </cell>
          <cell r="P189">
            <v>0</v>
          </cell>
          <cell r="Q189">
            <v>0</v>
          </cell>
          <cell r="R189">
            <v>5005.7299999999996</v>
          </cell>
          <cell r="T189">
            <v>0</v>
          </cell>
          <cell r="U189">
            <v>5005.7299999999996</v>
          </cell>
          <cell r="V189">
            <v>0</v>
          </cell>
        </row>
        <row r="190">
          <cell r="D190" t="str">
            <v>Controle Tecnológico De Concreto - TUBULÃO</v>
          </cell>
          <cell r="E190">
            <v>7</v>
          </cell>
          <cell r="F190" t="str">
            <v>un</v>
          </cell>
          <cell r="G190">
            <v>101.5</v>
          </cell>
          <cell r="H190">
            <v>0</v>
          </cell>
          <cell r="I190" t="str">
            <v>01.004.003.006 - Controle Tecnológico De Concreto - TUBULÃO</v>
          </cell>
          <cell r="J190" t="str">
            <v>3 - CUSTOS DIRETOS</v>
          </cell>
          <cell r="K190" t="str">
            <v>3 - CUSTOS DIRETOS1.004.003.006</v>
          </cell>
          <cell r="L190">
            <v>101.5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T190">
            <v>0</v>
          </cell>
          <cell r="U190">
            <v>0</v>
          </cell>
          <cell r="V190">
            <v>101.5</v>
          </cell>
        </row>
        <row r="191">
          <cell r="D191" t="str">
            <v>ESTRUTURA</v>
          </cell>
          <cell r="I191" t="str">
            <v>01.005 - ESTRUTURA</v>
          </cell>
          <cell r="J191" t="str">
            <v>3 - CUSTOS DIRETOS</v>
          </cell>
          <cell r="K191" t="str">
            <v>3 - CUSTOS DIRETOS1.005</v>
          </cell>
          <cell r="L191">
            <v>5180115.879999999</v>
          </cell>
          <cell r="N191">
            <v>5190646.38</v>
          </cell>
          <cell r="O191">
            <v>6904.3</v>
          </cell>
          <cell r="P191">
            <v>28050.639999999996</v>
          </cell>
          <cell r="Q191">
            <v>0</v>
          </cell>
          <cell r="R191">
            <v>5225601.3199999994</v>
          </cell>
          <cell r="T191">
            <v>-137000</v>
          </cell>
          <cell r="U191">
            <v>5088601.3199999994</v>
          </cell>
          <cell r="V191">
            <v>91514.55999999959</v>
          </cell>
        </row>
        <row r="192">
          <cell r="D192" t="str">
            <v>ESCORAMENTO METÁLICO</v>
          </cell>
          <cell r="I192" t="str">
            <v>01.005.001 - ESCORAMENTO METÁLICO</v>
          </cell>
          <cell r="J192" t="str">
            <v>3 - CUSTOS DIRETOS</v>
          </cell>
          <cell r="K192" t="str">
            <v>3 - CUSTOS DIRETOS1.005.001</v>
          </cell>
          <cell r="L192">
            <v>310000</v>
          </cell>
          <cell r="N192">
            <v>330904.64000000013</v>
          </cell>
          <cell r="O192">
            <v>0</v>
          </cell>
          <cell r="P192">
            <v>0</v>
          </cell>
          <cell r="Q192">
            <v>0</v>
          </cell>
          <cell r="R192">
            <v>330904.64000000013</v>
          </cell>
          <cell r="T192">
            <v>-137000</v>
          </cell>
          <cell r="U192">
            <v>193904.64000000013</v>
          </cell>
          <cell r="V192">
            <v>116095.35999999987</v>
          </cell>
        </row>
        <row r="193">
          <cell r="D193" t="str">
            <v>Locação De Escoramento Metálico</v>
          </cell>
          <cell r="E193">
            <v>1</v>
          </cell>
          <cell r="F193" t="str">
            <v>vb</v>
          </cell>
          <cell r="G193">
            <v>300000</v>
          </cell>
          <cell r="H193">
            <v>0</v>
          </cell>
          <cell r="I193" t="str">
            <v>01.005.001.001 - Locação De Escoramento Metálico</v>
          </cell>
          <cell r="J193" t="str">
            <v>3 - CUSTOS DIRETOS</v>
          </cell>
          <cell r="K193" t="str">
            <v>3 - CUSTOS DIRETOS1.005.001.001</v>
          </cell>
          <cell r="L193">
            <v>300000</v>
          </cell>
          <cell r="N193">
            <v>330124.64000000013</v>
          </cell>
          <cell r="O193">
            <v>0</v>
          </cell>
          <cell r="P193">
            <v>0</v>
          </cell>
          <cell r="Q193">
            <v>0</v>
          </cell>
          <cell r="R193">
            <v>330124.64000000013</v>
          </cell>
          <cell r="T193">
            <v>-137000</v>
          </cell>
          <cell r="U193">
            <v>193124.64000000013</v>
          </cell>
          <cell r="V193">
            <v>106875.35999999987</v>
          </cell>
        </row>
        <row r="194">
          <cell r="D194" t="str">
            <v>Indenização Do Escoramento Metálico</v>
          </cell>
          <cell r="E194">
            <v>1</v>
          </cell>
          <cell r="F194" t="str">
            <v>vb</v>
          </cell>
          <cell r="G194">
            <v>10000</v>
          </cell>
          <cell r="H194">
            <v>0</v>
          </cell>
          <cell r="I194" t="str">
            <v>01.005.001.002 - Indenização Do Escoramento Metálico</v>
          </cell>
          <cell r="J194" t="str">
            <v>3 - CUSTOS DIRETOS</v>
          </cell>
          <cell r="K194" t="str">
            <v>3 - CUSTOS DIRETOS1.005.001.002</v>
          </cell>
          <cell r="L194">
            <v>10000</v>
          </cell>
          <cell r="N194">
            <v>780</v>
          </cell>
          <cell r="O194">
            <v>0</v>
          </cell>
          <cell r="P194">
            <v>0</v>
          </cell>
          <cell r="Q194">
            <v>0</v>
          </cell>
          <cell r="R194">
            <v>780</v>
          </cell>
          <cell r="T194">
            <v>0</v>
          </cell>
          <cell r="U194">
            <v>780</v>
          </cell>
          <cell r="V194">
            <v>9220</v>
          </cell>
        </row>
        <row r="195">
          <cell r="D195" t="str">
            <v>MONTAGEM E DESMONTAGEM DE FORMA</v>
          </cell>
          <cell r="I195" t="str">
            <v>01.005.002 - MONTAGEM E DESMONTAGEM DE FORMA</v>
          </cell>
          <cell r="J195" t="str">
            <v>3 - CUSTOS DIRETOS</v>
          </cell>
          <cell r="K195" t="str">
            <v>3 - CUSTOS DIRETOS1.005.002</v>
          </cell>
          <cell r="L195">
            <v>490712.29999999987</v>
          </cell>
          <cell r="N195">
            <v>469455.64999999997</v>
          </cell>
          <cell r="O195">
            <v>134.52000000000001</v>
          </cell>
          <cell r="P195">
            <v>0</v>
          </cell>
          <cell r="Q195">
            <v>0</v>
          </cell>
          <cell r="R195">
            <v>469590.17</v>
          </cell>
          <cell r="T195">
            <v>0</v>
          </cell>
          <cell r="U195">
            <v>469590.17</v>
          </cell>
          <cell r="V195">
            <v>21122.129999999888</v>
          </cell>
        </row>
        <row r="196">
          <cell r="D196" t="str">
            <v>Montagem E Desmontagem De Forma - Res. Inf Ao Pil</v>
          </cell>
          <cell r="E196">
            <v>3331.65</v>
          </cell>
          <cell r="F196" t="str">
            <v>m2</v>
          </cell>
          <cell r="G196">
            <v>163317.48000000001</v>
          </cell>
          <cell r="H196">
            <v>0</v>
          </cell>
          <cell r="I196" t="str">
            <v>01.005.002.001 - Montagem E Desmontagem De Forma - Res. Inf Ao Pil</v>
          </cell>
          <cell r="J196" t="str">
            <v>3 - CUSTOS DIRETOS</v>
          </cell>
          <cell r="K196" t="str">
            <v>3 - CUSTOS DIRETOS1.005.002.001</v>
          </cell>
          <cell r="L196">
            <v>163317.48000000001</v>
          </cell>
          <cell r="N196">
            <v>254129.66999999998</v>
          </cell>
          <cell r="O196">
            <v>134.52000000000001</v>
          </cell>
          <cell r="P196">
            <v>0</v>
          </cell>
          <cell r="Q196">
            <v>0</v>
          </cell>
          <cell r="R196">
            <v>254264.18999999997</v>
          </cell>
          <cell r="T196">
            <v>0</v>
          </cell>
          <cell r="U196">
            <v>254264.18999999997</v>
          </cell>
          <cell r="V196">
            <v>-90946.709999999963</v>
          </cell>
        </row>
        <row r="197">
          <cell r="D197" t="str">
            <v>Montagem E Desmontagem De Forma - 2º Pavimento</v>
          </cell>
          <cell r="E197">
            <v>418.33</v>
          </cell>
          <cell r="F197" t="str">
            <v>m2</v>
          </cell>
          <cell r="G197">
            <v>20506.54</v>
          </cell>
          <cell r="H197">
            <v>0</v>
          </cell>
          <cell r="I197" t="str">
            <v>01.005.002.002 - Montagem E Desmontagem De Forma - 2º Pavimento</v>
          </cell>
          <cell r="J197" t="str">
            <v>3 - CUSTOS DIRETOS</v>
          </cell>
          <cell r="K197" t="str">
            <v>3 - CUSTOS DIRETOS1.005.002.002</v>
          </cell>
          <cell r="L197">
            <v>20506.54</v>
          </cell>
          <cell r="N197">
            <v>13876.259999999998</v>
          </cell>
          <cell r="O197">
            <v>0</v>
          </cell>
          <cell r="P197">
            <v>0</v>
          </cell>
          <cell r="Q197">
            <v>0</v>
          </cell>
          <cell r="R197">
            <v>13876.259999999998</v>
          </cell>
          <cell r="T197">
            <v>0</v>
          </cell>
          <cell r="U197">
            <v>13876.259999999998</v>
          </cell>
          <cell r="V197">
            <v>6630.2800000000025</v>
          </cell>
        </row>
        <row r="198">
          <cell r="D198" t="str">
            <v>Montagem E Desmontagem De Forma - 3º Pavimento</v>
          </cell>
          <cell r="E198">
            <v>418.33</v>
          </cell>
          <cell r="F198" t="str">
            <v>m2</v>
          </cell>
          <cell r="G198">
            <v>20506.54</v>
          </cell>
          <cell r="H198">
            <v>0</v>
          </cell>
          <cell r="I198" t="str">
            <v>01.005.002.003 - Montagem E Desmontagem De Forma - 3º Pavimento</v>
          </cell>
          <cell r="J198" t="str">
            <v>3 - CUSTOS DIRETOS</v>
          </cell>
          <cell r="K198" t="str">
            <v>3 - CUSTOS DIRETOS1.005.002.003</v>
          </cell>
          <cell r="L198">
            <v>20506.54</v>
          </cell>
          <cell r="N198">
            <v>8311.4999999999982</v>
          </cell>
          <cell r="O198">
            <v>0</v>
          </cell>
          <cell r="P198">
            <v>0</v>
          </cell>
          <cell r="Q198">
            <v>0</v>
          </cell>
          <cell r="R198">
            <v>8311.4999999999982</v>
          </cell>
          <cell r="T198">
            <v>0</v>
          </cell>
          <cell r="U198">
            <v>8311.4999999999982</v>
          </cell>
          <cell r="V198">
            <v>12195.040000000003</v>
          </cell>
        </row>
        <row r="199">
          <cell r="D199" t="str">
            <v>Montagem E Desmontagem De Forma - 4º Pavimento</v>
          </cell>
          <cell r="E199">
            <v>418.33</v>
          </cell>
          <cell r="F199" t="str">
            <v>m2</v>
          </cell>
          <cell r="G199">
            <v>20506.54</v>
          </cell>
          <cell r="H199">
            <v>0</v>
          </cell>
          <cell r="I199" t="str">
            <v>01.005.002.004 - Montagem E Desmontagem De Forma - 4º Pavimento</v>
          </cell>
          <cell r="J199" t="str">
            <v>3 - CUSTOS DIRETOS</v>
          </cell>
          <cell r="K199" t="str">
            <v>3 - CUSTOS DIRETOS1.005.002.004</v>
          </cell>
          <cell r="L199">
            <v>20506.54</v>
          </cell>
          <cell r="N199">
            <v>11637.38</v>
          </cell>
          <cell r="O199">
            <v>0</v>
          </cell>
          <cell r="P199">
            <v>0</v>
          </cell>
          <cell r="Q199">
            <v>0</v>
          </cell>
          <cell r="R199">
            <v>11637.38</v>
          </cell>
          <cell r="T199">
            <v>0</v>
          </cell>
          <cell r="U199">
            <v>11637.38</v>
          </cell>
          <cell r="V199">
            <v>8869.1600000000017</v>
          </cell>
        </row>
        <row r="200">
          <cell r="D200" t="str">
            <v>Montagem E Desmontagem De Forma - 5º Pavimento</v>
          </cell>
          <cell r="E200">
            <v>418.33</v>
          </cell>
          <cell r="F200" t="str">
            <v>m2</v>
          </cell>
          <cell r="G200">
            <v>20506.54</v>
          </cell>
          <cell r="H200">
            <v>0</v>
          </cell>
          <cell r="I200" t="str">
            <v>01.005.002.005 - Montagem E Desmontagem De Forma - 5º Pavimento</v>
          </cell>
          <cell r="J200" t="str">
            <v>3 - CUSTOS DIRETOS</v>
          </cell>
          <cell r="K200" t="str">
            <v>3 - CUSTOS DIRETOS1.005.002.005</v>
          </cell>
          <cell r="L200">
            <v>20506.54</v>
          </cell>
          <cell r="N200">
            <v>7119.2399999999989</v>
          </cell>
          <cell r="O200">
            <v>0</v>
          </cell>
          <cell r="P200">
            <v>0</v>
          </cell>
          <cell r="Q200">
            <v>0</v>
          </cell>
          <cell r="R200">
            <v>7119.2399999999989</v>
          </cell>
          <cell r="T200">
            <v>0</v>
          </cell>
          <cell r="U200">
            <v>7119.2399999999989</v>
          </cell>
          <cell r="V200">
            <v>13387.300000000003</v>
          </cell>
        </row>
        <row r="201">
          <cell r="D201" t="str">
            <v>Montagem E Desmontagem De Forma - 6º Pavimento</v>
          </cell>
          <cell r="E201">
            <v>418.33</v>
          </cell>
          <cell r="F201" t="str">
            <v>m2</v>
          </cell>
          <cell r="G201">
            <v>20506.54</v>
          </cell>
          <cell r="H201">
            <v>0</v>
          </cell>
          <cell r="I201" t="str">
            <v>01.005.002.006 - Montagem E Desmontagem De Forma - 6º Pavimento</v>
          </cell>
          <cell r="J201" t="str">
            <v>3 - CUSTOS DIRETOS</v>
          </cell>
          <cell r="K201" t="str">
            <v>3 - CUSTOS DIRETOS1.005.002.006</v>
          </cell>
          <cell r="L201">
            <v>20506.54</v>
          </cell>
          <cell r="N201">
            <v>5817.8599999999988</v>
          </cell>
          <cell r="O201">
            <v>0</v>
          </cell>
          <cell r="P201">
            <v>0</v>
          </cell>
          <cell r="Q201">
            <v>0</v>
          </cell>
          <cell r="R201">
            <v>5817.8599999999988</v>
          </cell>
          <cell r="T201">
            <v>0</v>
          </cell>
          <cell r="U201">
            <v>5817.8599999999988</v>
          </cell>
          <cell r="V201">
            <v>14688.680000000002</v>
          </cell>
        </row>
        <row r="202">
          <cell r="D202" t="str">
            <v>Montagem E Desmontagem De Forma - 7º Pavimento</v>
          </cell>
          <cell r="E202">
            <v>418.33</v>
          </cell>
          <cell r="F202" t="str">
            <v>m2</v>
          </cell>
          <cell r="G202">
            <v>20506.54</v>
          </cell>
          <cell r="H202">
            <v>0</v>
          </cell>
          <cell r="I202" t="str">
            <v>01.005.002.007 - Montagem E Desmontagem De Forma - 7º Pavimento</v>
          </cell>
          <cell r="J202" t="str">
            <v>3 - CUSTOS DIRETOS</v>
          </cell>
          <cell r="K202" t="str">
            <v>3 - CUSTOS DIRETOS1.005.002.007</v>
          </cell>
          <cell r="L202">
            <v>20506.54</v>
          </cell>
          <cell r="N202">
            <v>9392.3100000000013</v>
          </cell>
          <cell r="O202">
            <v>0</v>
          </cell>
          <cell r="P202">
            <v>0</v>
          </cell>
          <cell r="Q202">
            <v>0</v>
          </cell>
          <cell r="R202">
            <v>9392.3100000000013</v>
          </cell>
          <cell r="T202">
            <v>0</v>
          </cell>
          <cell r="U202">
            <v>9392.3100000000013</v>
          </cell>
          <cell r="V202">
            <v>11114.23</v>
          </cell>
        </row>
        <row r="203">
          <cell r="D203" t="str">
            <v>Montagem E Desmontagem De Forma - 8º Pavimento</v>
          </cell>
          <cell r="E203">
            <v>418.33</v>
          </cell>
          <cell r="F203" t="str">
            <v>m2</v>
          </cell>
          <cell r="G203">
            <v>20506.54</v>
          </cell>
          <cell r="H203">
            <v>0</v>
          </cell>
          <cell r="I203" t="str">
            <v>01.005.002.008 - Montagem E Desmontagem De Forma - 8º Pavimento</v>
          </cell>
          <cell r="J203" t="str">
            <v>3 - CUSTOS DIRETOS</v>
          </cell>
          <cell r="K203" t="str">
            <v>3 - CUSTOS DIRETOS1.005.002.008</v>
          </cell>
          <cell r="L203">
            <v>20506.54</v>
          </cell>
          <cell r="N203">
            <v>7660.93</v>
          </cell>
          <cell r="O203">
            <v>0</v>
          </cell>
          <cell r="P203">
            <v>0</v>
          </cell>
          <cell r="Q203">
            <v>0</v>
          </cell>
          <cell r="R203">
            <v>7660.93</v>
          </cell>
          <cell r="T203">
            <v>0</v>
          </cell>
          <cell r="U203">
            <v>7660.93</v>
          </cell>
          <cell r="V203">
            <v>12845.61</v>
          </cell>
        </row>
        <row r="204">
          <cell r="D204" t="str">
            <v>Montagem E Desmontagem De Forma - 9º Pavimento</v>
          </cell>
          <cell r="E204">
            <v>418.33</v>
          </cell>
          <cell r="F204" t="str">
            <v>m2</v>
          </cell>
          <cell r="G204">
            <v>20506.54</v>
          </cell>
          <cell r="H204">
            <v>0</v>
          </cell>
          <cell r="I204" t="str">
            <v>01.005.002.009 - Montagem E Desmontagem De Forma - 9º Pavimento</v>
          </cell>
          <cell r="J204" t="str">
            <v>3 - CUSTOS DIRETOS</v>
          </cell>
          <cell r="K204" t="str">
            <v>3 - CUSTOS DIRETOS1.005.002.009</v>
          </cell>
          <cell r="L204">
            <v>20506.54</v>
          </cell>
          <cell r="N204">
            <v>11291.39</v>
          </cell>
          <cell r="O204">
            <v>0</v>
          </cell>
          <cell r="P204">
            <v>0</v>
          </cell>
          <cell r="Q204">
            <v>0</v>
          </cell>
          <cell r="R204">
            <v>11291.39</v>
          </cell>
          <cell r="T204">
            <v>0</v>
          </cell>
          <cell r="U204">
            <v>11291.39</v>
          </cell>
          <cell r="V204">
            <v>9215.1500000000015</v>
          </cell>
        </row>
        <row r="205">
          <cell r="D205" t="str">
            <v>Montagem E Desmontagem De Forma - 10º Pavimento</v>
          </cell>
          <cell r="E205">
            <v>418.33</v>
          </cell>
          <cell r="F205" t="str">
            <v>m2</v>
          </cell>
          <cell r="G205">
            <v>20506.54</v>
          </cell>
          <cell r="H205">
            <v>0</v>
          </cell>
          <cell r="I205" t="str">
            <v>01.005.002.010 - Montagem E Desmontagem De Forma - 10º Pavimento</v>
          </cell>
          <cell r="J205" t="str">
            <v>3 - CUSTOS DIRETOS</v>
          </cell>
          <cell r="K205" t="str">
            <v>3 - CUSTOS DIRETOS1.005.002.010</v>
          </cell>
          <cell r="L205">
            <v>20506.54</v>
          </cell>
          <cell r="N205">
            <v>11626.050000000001</v>
          </cell>
          <cell r="O205">
            <v>0</v>
          </cell>
          <cell r="P205">
            <v>0</v>
          </cell>
          <cell r="Q205">
            <v>0</v>
          </cell>
          <cell r="R205">
            <v>11626.050000000001</v>
          </cell>
          <cell r="T205">
            <v>0</v>
          </cell>
          <cell r="U205">
            <v>11626.050000000001</v>
          </cell>
          <cell r="V205">
            <v>8880.49</v>
          </cell>
        </row>
        <row r="206">
          <cell r="D206" t="str">
            <v>Montagem E Desmontagem De Forma - 11º Pavimento</v>
          </cell>
          <cell r="E206">
            <v>418.33</v>
          </cell>
          <cell r="F206" t="str">
            <v>m2</v>
          </cell>
          <cell r="G206">
            <v>20506.54</v>
          </cell>
          <cell r="H206">
            <v>0</v>
          </cell>
          <cell r="I206" t="str">
            <v>01.005.002.011 - Montagem E Desmontagem De Forma - 11º Pavimento</v>
          </cell>
          <cell r="J206" t="str">
            <v>3 - CUSTOS DIRETOS</v>
          </cell>
          <cell r="K206" t="str">
            <v>3 - CUSTOS DIRETOS1.005.002.011</v>
          </cell>
          <cell r="L206">
            <v>20506.54</v>
          </cell>
          <cell r="N206">
            <v>15242.779999999999</v>
          </cell>
          <cell r="O206">
            <v>0</v>
          </cell>
          <cell r="P206">
            <v>0</v>
          </cell>
          <cell r="Q206">
            <v>0</v>
          </cell>
          <cell r="R206">
            <v>15242.779999999999</v>
          </cell>
          <cell r="T206">
            <v>0</v>
          </cell>
          <cell r="U206">
            <v>15242.779999999999</v>
          </cell>
          <cell r="V206">
            <v>5263.760000000002</v>
          </cell>
        </row>
        <row r="207">
          <cell r="D207" t="str">
            <v>Montagem E Desmontagem De Forma - 12º Pavimento</v>
          </cell>
          <cell r="E207">
            <v>418.33</v>
          </cell>
          <cell r="F207" t="str">
            <v>m2</v>
          </cell>
          <cell r="G207">
            <v>20506.54</v>
          </cell>
          <cell r="H207">
            <v>0</v>
          </cell>
          <cell r="I207" t="str">
            <v>01.005.002.012 - Montagem E Desmontagem De Forma - 12º Pavimento</v>
          </cell>
          <cell r="J207" t="str">
            <v>3 - CUSTOS DIRETOS</v>
          </cell>
          <cell r="K207" t="str">
            <v>3 - CUSTOS DIRETOS1.005.002.012</v>
          </cell>
          <cell r="L207">
            <v>20506.54</v>
          </cell>
          <cell r="N207">
            <v>15592.870000000003</v>
          </cell>
          <cell r="O207">
            <v>0</v>
          </cell>
          <cell r="P207">
            <v>0</v>
          </cell>
          <cell r="Q207">
            <v>0</v>
          </cell>
          <cell r="R207">
            <v>15592.870000000003</v>
          </cell>
          <cell r="T207">
            <v>0</v>
          </cell>
          <cell r="U207">
            <v>15592.870000000003</v>
          </cell>
          <cell r="V207">
            <v>4913.6699999999983</v>
          </cell>
        </row>
        <row r="208">
          <cell r="D208" t="str">
            <v>Montagem E Desmontagem De Forma - 13º Pavimento</v>
          </cell>
          <cell r="E208">
            <v>418.33</v>
          </cell>
          <cell r="F208" t="str">
            <v>m2</v>
          </cell>
          <cell r="G208">
            <v>20506.54</v>
          </cell>
          <cell r="H208">
            <v>0</v>
          </cell>
          <cell r="I208" t="str">
            <v>01.005.002.013 - Montagem E Desmontagem De Forma - 13º Pavimento</v>
          </cell>
          <cell r="J208" t="str">
            <v>3 - CUSTOS DIRETOS</v>
          </cell>
          <cell r="K208" t="str">
            <v>3 - CUSTOS DIRETOS1.005.002.013</v>
          </cell>
          <cell r="L208">
            <v>20506.54</v>
          </cell>
          <cell r="N208">
            <v>13978.989999999998</v>
          </cell>
          <cell r="O208">
            <v>0</v>
          </cell>
          <cell r="P208">
            <v>0</v>
          </cell>
          <cell r="Q208">
            <v>0</v>
          </cell>
          <cell r="R208">
            <v>13978.989999999998</v>
          </cell>
          <cell r="T208">
            <v>0</v>
          </cell>
          <cell r="U208">
            <v>13978.989999999998</v>
          </cell>
          <cell r="V208">
            <v>6527.5500000000029</v>
          </cell>
        </row>
        <row r="209">
          <cell r="D209" t="str">
            <v>Montagem E Desmontagem De Forma - 14º Pavimento</v>
          </cell>
          <cell r="E209">
            <v>418.33</v>
          </cell>
          <cell r="F209" t="str">
            <v>m2</v>
          </cell>
          <cell r="G209">
            <v>20506.54</v>
          </cell>
          <cell r="H209">
            <v>0</v>
          </cell>
          <cell r="I209" t="str">
            <v>01.005.002.014 - Montagem E Desmontagem De Forma - 14º Pavimento</v>
          </cell>
          <cell r="J209" t="str">
            <v>3 - CUSTOS DIRETOS</v>
          </cell>
          <cell r="K209" t="str">
            <v>3 - CUSTOS DIRETOS1.005.002.014</v>
          </cell>
          <cell r="L209">
            <v>20506.54</v>
          </cell>
          <cell r="N209">
            <v>33069.06</v>
          </cell>
          <cell r="O209">
            <v>0</v>
          </cell>
          <cell r="P209">
            <v>0</v>
          </cell>
          <cell r="Q209">
            <v>0</v>
          </cell>
          <cell r="R209">
            <v>33069.06</v>
          </cell>
          <cell r="T209">
            <v>0</v>
          </cell>
          <cell r="U209">
            <v>33069.06</v>
          </cell>
          <cell r="V209">
            <v>-12562.519999999997</v>
          </cell>
        </row>
        <row r="210">
          <cell r="D210" t="str">
            <v>Montagem E Desmontagem De Forma - 15º Pavimento</v>
          </cell>
          <cell r="E210">
            <v>418.33</v>
          </cell>
          <cell r="F210" t="str">
            <v>m2</v>
          </cell>
          <cell r="G210">
            <v>20506.54</v>
          </cell>
          <cell r="H210">
            <v>0</v>
          </cell>
          <cell r="I210" t="str">
            <v>01.005.002.015 - Montagem E Desmontagem De Forma - 15º Pavimento</v>
          </cell>
          <cell r="J210" t="str">
            <v>3 - CUSTOS DIRETOS</v>
          </cell>
          <cell r="K210" t="str">
            <v>3 - CUSTOS DIRETOS1.005.002.015</v>
          </cell>
          <cell r="L210">
            <v>20506.54</v>
          </cell>
          <cell r="N210">
            <v>19209.620000000003</v>
          </cell>
          <cell r="O210">
            <v>0</v>
          </cell>
          <cell r="P210">
            <v>0</v>
          </cell>
          <cell r="Q210">
            <v>0</v>
          </cell>
          <cell r="R210">
            <v>19209.620000000003</v>
          </cell>
          <cell r="T210">
            <v>0</v>
          </cell>
          <cell r="U210">
            <v>19209.620000000003</v>
          </cell>
          <cell r="V210">
            <v>1296.9199999999983</v>
          </cell>
        </row>
        <row r="211">
          <cell r="D211" t="str">
            <v>Montagem E Desmontagem De Forma - Cobertura</v>
          </cell>
          <cell r="E211">
            <v>822.18</v>
          </cell>
          <cell r="F211" t="str">
            <v>m2</v>
          </cell>
          <cell r="G211">
            <v>40303.26</v>
          </cell>
          <cell r="H211">
            <v>0</v>
          </cell>
          <cell r="I211" t="str">
            <v>01.005.002.016 - Montagem E Desmontagem De Forma - Cobertura</v>
          </cell>
          <cell r="J211" t="str">
            <v>3 - CUSTOS DIRETOS</v>
          </cell>
          <cell r="K211" t="str">
            <v>3 - CUSTOS DIRETOS1.005.002.016</v>
          </cell>
          <cell r="L211">
            <v>40303.26</v>
          </cell>
          <cell r="N211">
            <v>31499.74</v>
          </cell>
          <cell r="O211">
            <v>0</v>
          </cell>
          <cell r="P211">
            <v>0</v>
          </cell>
          <cell r="Q211">
            <v>0</v>
          </cell>
          <cell r="R211">
            <v>31499.74</v>
          </cell>
          <cell r="T211">
            <v>0</v>
          </cell>
          <cell r="U211">
            <v>31499.74</v>
          </cell>
          <cell r="V211">
            <v>8803.52</v>
          </cell>
        </row>
        <row r="212">
          <cell r="D212" t="str">
            <v>CONFECÇÃO DE FORMAS P/ LAJES</v>
          </cell>
          <cell r="I212" t="str">
            <v>01.005.003 - CONFECÇÃO DE FORMAS P/ LAJES</v>
          </cell>
          <cell r="J212" t="str">
            <v>3 - CUSTOS DIRETOS</v>
          </cell>
          <cell r="K212" t="str">
            <v>3 - CUSTOS DIRETOS1.005.003</v>
          </cell>
          <cell r="L212">
            <v>514532.25000000006</v>
          </cell>
          <cell r="N212">
            <v>267303.17</v>
          </cell>
          <cell r="O212">
            <v>354.18</v>
          </cell>
          <cell r="P212">
            <v>0</v>
          </cell>
          <cell r="Q212">
            <v>0</v>
          </cell>
          <cell r="R212">
            <v>267657.34999999998</v>
          </cell>
          <cell r="T212">
            <v>0</v>
          </cell>
          <cell r="U212">
            <v>267657.34999999998</v>
          </cell>
          <cell r="V212">
            <v>246874.90000000008</v>
          </cell>
        </row>
        <row r="213">
          <cell r="D213" t="str">
            <v>Confecção De Formas P/ Lajes - Res. Inf Ao Pil</v>
          </cell>
          <cell r="E213">
            <v>3331.65</v>
          </cell>
          <cell r="F213" t="str">
            <v>m2</v>
          </cell>
          <cell r="G213">
            <v>342127.14</v>
          </cell>
          <cell r="H213">
            <v>0</v>
          </cell>
          <cell r="I213" t="str">
            <v>01.005.003.001 - Confecção De Formas P/ Lajes - Res. Inf Ao Pil</v>
          </cell>
          <cell r="J213" t="str">
            <v>3 - CUSTOS DIRETOS</v>
          </cell>
          <cell r="K213" t="str">
            <v>3 - CUSTOS DIRETOS1.005.003.001</v>
          </cell>
          <cell r="L213">
            <v>342127.14</v>
          </cell>
          <cell r="N213">
            <v>158864.91999999998</v>
          </cell>
          <cell r="O213">
            <v>354.18</v>
          </cell>
          <cell r="P213">
            <v>0</v>
          </cell>
          <cell r="Q213">
            <v>0</v>
          </cell>
          <cell r="R213">
            <v>159219.09999999998</v>
          </cell>
          <cell r="T213">
            <v>0</v>
          </cell>
          <cell r="U213">
            <v>159219.09999999998</v>
          </cell>
          <cell r="V213">
            <v>182908.04000000004</v>
          </cell>
        </row>
        <row r="214">
          <cell r="D214" t="str">
            <v>Confecção De Formas P/ Lajes - 2º Pavimento</v>
          </cell>
          <cell r="E214">
            <v>418.33</v>
          </cell>
          <cell r="F214" t="str">
            <v>m2</v>
          </cell>
          <cell r="G214">
            <v>34721.39</v>
          </cell>
          <cell r="H214">
            <v>0</v>
          </cell>
          <cell r="I214" t="str">
            <v>01.005.003.002 - Confecção De Formas P/ Lajes - 2º Pavimento</v>
          </cell>
          <cell r="J214" t="str">
            <v>3 - CUSTOS DIRETOS</v>
          </cell>
          <cell r="K214" t="str">
            <v>3 - CUSTOS DIRETOS1.005.003.002</v>
          </cell>
          <cell r="L214">
            <v>34721.39</v>
          </cell>
          <cell r="N214">
            <v>14526.55</v>
          </cell>
          <cell r="O214">
            <v>0</v>
          </cell>
          <cell r="P214">
            <v>0</v>
          </cell>
          <cell r="Q214">
            <v>0</v>
          </cell>
          <cell r="R214">
            <v>14526.55</v>
          </cell>
          <cell r="T214">
            <v>0</v>
          </cell>
          <cell r="U214">
            <v>14526.55</v>
          </cell>
          <cell r="V214">
            <v>20194.84</v>
          </cell>
        </row>
        <row r="215">
          <cell r="D215" t="str">
            <v>Confecção De Formas P/ Lajes - 3º Pavimento</v>
          </cell>
          <cell r="E215">
            <v>0</v>
          </cell>
          <cell r="F215" t="str">
            <v>m2</v>
          </cell>
          <cell r="G215">
            <v>0</v>
          </cell>
          <cell r="H215">
            <v>0</v>
          </cell>
          <cell r="I215" t="str">
            <v>01.005.003.003 - Confecção De Formas P/ Lajes - 3º Pavimento</v>
          </cell>
          <cell r="J215" t="str">
            <v>3 - CUSTOS DIRETOS</v>
          </cell>
          <cell r="K215" t="str">
            <v>3 - CUSTOS DIRETOS1.005.003.003</v>
          </cell>
          <cell r="L215">
            <v>0</v>
          </cell>
          <cell r="N215">
            <v>13953.81</v>
          </cell>
          <cell r="O215">
            <v>0</v>
          </cell>
          <cell r="P215">
            <v>0</v>
          </cell>
          <cell r="Q215">
            <v>0</v>
          </cell>
          <cell r="R215">
            <v>13953.81</v>
          </cell>
          <cell r="T215">
            <v>0</v>
          </cell>
          <cell r="U215">
            <v>13953.81</v>
          </cell>
          <cell r="V215">
            <v>-13953.81</v>
          </cell>
        </row>
        <row r="216">
          <cell r="D216" t="str">
            <v>Confecção De Formas P/ Lajes - 4º Pavimento</v>
          </cell>
          <cell r="E216">
            <v>0</v>
          </cell>
          <cell r="F216" t="str">
            <v>m2</v>
          </cell>
          <cell r="G216">
            <v>0</v>
          </cell>
          <cell r="H216">
            <v>0</v>
          </cell>
          <cell r="I216" t="str">
            <v>01.005.003.004 - Confecção De Formas P/ Lajes - 4º Pavimento</v>
          </cell>
          <cell r="J216" t="str">
            <v>3 - CUSTOS DIRETOS</v>
          </cell>
          <cell r="K216" t="str">
            <v>3 - CUSTOS DIRETOS1.005.003.004</v>
          </cell>
          <cell r="L216">
            <v>0</v>
          </cell>
          <cell r="N216">
            <v>4680.28</v>
          </cell>
          <cell r="O216">
            <v>0</v>
          </cell>
          <cell r="P216">
            <v>0</v>
          </cell>
          <cell r="Q216">
            <v>0</v>
          </cell>
          <cell r="R216">
            <v>4680.28</v>
          </cell>
          <cell r="T216">
            <v>0</v>
          </cell>
          <cell r="U216">
            <v>4680.28</v>
          </cell>
          <cell r="V216">
            <v>-4680.28</v>
          </cell>
        </row>
        <row r="217">
          <cell r="D217" t="str">
            <v>Confecção De Formas P/ Lajes - 5º Pavimento</v>
          </cell>
          <cell r="E217">
            <v>0</v>
          </cell>
          <cell r="F217" t="str">
            <v>m2</v>
          </cell>
          <cell r="G217">
            <v>0</v>
          </cell>
          <cell r="H217">
            <v>0</v>
          </cell>
          <cell r="I217" t="str">
            <v>01.005.003.005 - Confecção De Formas P/ Lajes - 5º Pavimento</v>
          </cell>
          <cell r="J217" t="str">
            <v>3 - CUSTOS DIRETOS</v>
          </cell>
          <cell r="K217" t="str">
            <v>3 - CUSTOS DIRETOS1.005.003.005</v>
          </cell>
          <cell r="L217">
            <v>0</v>
          </cell>
          <cell r="N217">
            <v>6227.19</v>
          </cell>
          <cell r="O217">
            <v>0</v>
          </cell>
          <cell r="P217">
            <v>0</v>
          </cell>
          <cell r="Q217">
            <v>0</v>
          </cell>
          <cell r="R217">
            <v>6227.19</v>
          </cell>
          <cell r="T217">
            <v>0</v>
          </cell>
          <cell r="U217">
            <v>6227.19</v>
          </cell>
          <cell r="V217">
            <v>-6227.19</v>
          </cell>
        </row>
        <row r="218">
          <cell r="D218" t="str">
            <v>Confecção De Formas P/ Lajes - 6º Pavimento</v>
          </cell>
          <cell r="E218">
            <v>0</v>
          </cell>
          <cell r="F218" t="str">
            <v>m2</v>
          </cell>
          <cell r="G218">
            <v>0</v>
          </cell>
          <cell r="H218">
            <v>0</v>
          </cell>
          <cell r="I218" t="str">
            <v>01.005.003.006 - Confecção De Formas P/ Lajes - 6º Pavimento</v>
          </cell>
          <cell r="J218" t="str">
            <v>3 - CUSTOS DIRETOS</v>
          </cell>
          <cell r="K218" t="str">
            <v>3 - CUSTOS DIRETOS1.005.003.006</v>
          </cell>
          <cell r="L218">
            <v>0</v>
          </cell>
          <cell r="N218">
            <v>8006.99</v>
          </cell>
          <cell r="O218">
            <v>0</v>
          </cell>
          <cell r="P218">
            <v>0</v>
          </cell>
          <cell r="Q218">
            <v>0</v>
          </cell>
          <cell r="R218">
            <v>8006.99</v>
          </cell>
          <cell r="T218">
            <v>0</v>
          </cell>
          <cell r="U218">
            <v>8006.99</v>
          </cell>
          <cell r="V218">
            <v>-8006.99</v>
          </cell>
        </row>
        <row r="219">
          <cell r="D219" t="str">
            <v>Confecção De Formas P/ Lajes - 7º Pavimento</v>
          </cell>
          <cell r="E219">
            <v>418.33</v>
          </cell>
          <cell r="F219" t="str">
            <v>m2</v>
          </cell>
          <cell r="G219">
            <v>34721.39</v>
          </cell>
          <cell r="H219">
            <v>0</v>
          </cell>
          <cell r="I219" t="str">
            <v>01.005.003.007 - Confecção De Formas P/ Lajes - 7º Pavimento</v>
          </cell>
          <cell r="J219" t="str">
            <v>3 - CUSTOS DIRETOS</v>
          </cell>
          <cell r="K219" t="str">
            <v>3 - CUSTOS DIRETOS1.005.003.007</v>
          </cell>
          <cell r="L219">
            <v>34721.39</v>
          </cell>
          <cell r="N219">
            <v>4841.22</v>
          </cell>
          <cell r="O219">
            <v>0</v>
          </cell>
          <cell r="P219">
            <v>0</v>
          </cell>
          <cell r="Q219">
            <v>0</v>
          </cell>
          <cell r="R219">
            <v>4841.22</v>
          </cell>
          <cell r="T219">
            <v>0</v>
          </cell>
          <cell r="U219">
            <v>4841.22</v>
          </cell>
          <cell r="V219">
            <v>29880.17</v>
          </cell>
        </row>
        <row r="220">
          <cell r="D220" t="str">
            <v>Confecção De Formas P/ Lajes - 8º Pavimento</v>
          </cell>
          <cell r="E220">
            <v>0</v>
          </cell>
          <cell r="F220" t="str">
            <v>m2</v>
          </cell>
          <cell r="G220">
            <v>0</v>
          </cell>
          <cell r="H220">
            <v>0</v>
          </cell>
          <cell r="I220" t="str">
            <v>01.005.003.008 - Confecção De Formas P/ Lajes - 8º Pavimento</v>
          </cell>
          <cell r="J220" t="str">
            <v>3 - CUSTOS DIRETOS</v>
          </cell>
          <cell r="K220" t="str">
            <v>3 - CUSTOS DIRETOS1.005.003.008</v>
          </cell>
          <cell r="L220">
            <v>0</v>
          </cell>
          <cell r="N220">
            <v>6236.3200000000006</v>
          </cell>
          <cell r="O220">
            <v>0</v>
          </cell>
          <cell r="P220">
            <v>0</v>
          </cell>
          <cell r="Q220">
            <v>0</v>
          </cell>
          <cell r="R220">
            <v>6236.3200000000006</v>
          </cell>
          <cell r="T220">
            <v>0</v>
          </cell>
          <cell r="U220">
            <v>6236.3200000000006</v>
          </cell>
          <cell r="V220">
            <v>-6236.3200000000006</v>
          </cell>
        </row>
        <row r="221">
          <cell r="D221" t="str">
            <v>Confecção De Formas P/ Lajes - 9º Pavimento</v>
          </cell>
          <cell r="E221">
            <v>0</v>
          </cell>
          <cell r="F221" t="str">
            <v>m2</v>
          </cell>
          <cell r="G221">
            <v>0</v>
          </cell>
          <cell r="H221">
            <v>0</v>
          </cell>
          <cell r="I221" t="str">
            <v>01.005.003.009 - Confecção De Formas P/ Lajes - 9º Pavimento</v>
          </cell>
          <cell r="J221" t="str">
            <v>3 - CUSTOS DIRETOS</v>
          </cell>
          <cell r="K221" t="str">
            <v>3 - CUSTOS DIRETOS1.005.003.009</v>
          </cell>
          <cell r="L221">
            <v>0</v>
          </cell>
          <cell r="N221">
            <v>5029.7299999999996</v>
          </cell>
          <cell r="O221">
            <v>0</v>
          </cell>
          <cell r="P221">
            <v>0</v>
          </cell>
          <cell r="Q221">
            <v>0</v>
          </cell>
          <cell r="R221">
            <v>5029.7299999999996</v>
          </cell>
          <cell r="T221">
            <v>0</v>
          </cell>
          <cell r="U221">
            <v>5029.7299999999996</v>
          </cell>
          <cell r="V221">
            <v>-5029.7299999999996</v>
          </cell>
        </row>
        <row r="222">
          <cell r="D222" t="str">
            <v>Confecção De Formas P/ Lajes - 10º Pavimento</v>
          </cell>
          <cell r="E222">
            <v>0</v>
          </cell>
          <cell r="F222" t="str">
            <v>m2</v>
          </cell>
          <cell r="G222">
            <v>0</v>
          </cell>
          <cell r="H222">
            <v>0</v>
          </cell>
          <cell r="I222" t="str">
            <v>01.005.003.010 - Confecção De Formas P/ Lajes - 10º Pavimento</v>
          </cell>
          <cell r="J222" t="str">
            <v>3 - CUSTOS DIRETOS</v>
          </cell>
          <cell r="K222" t="str">
            <v>3 - CUSTOS DIRETOS1.005.003.010</v>
          </cell>
          <cell r="L222">
            <v>0</v>
          </cell>
          <cell r="N222">
            <v>3562.84</v>
          </cell>
          <cell r="O222">
            <v>0</v>
          </cell>
          <cell r="P222">
            <v>0</v>
          </cell>
          <cell r="Q222">
            <v>0</v>
          </cell>
          <cell r="R222">
            <v>3562.84</v>
          </cell>
          <cell r="T222">
            <v>0</v>
          </cell>
          <cell r="U222">
            <v>3562.84</v>
          </cell>
          <cell r="V222">
            <v>-3562.84</v>
          </cell>
        </row>
        <row r="223">
          <cell r="D223" t="str">
            <v>Confecção De Formas P/ Lajes - 11º Pavimento</v>
          </cell>
          <cell r="E223">
            <v>418.33</v>
          </cell>
          <cell r="F223" t="str">
            <v>m2</v>
          </cell>
          <cell r="G223">
            <v>34721.39</v>
          </cell>
          <cell r="H223">
            <v>0</v>
          </cell>
          <cell r="I223" t="str">
            <v>01.005.003.011 - Confecção De Formas P/ Lajes - 11º Pavimento</v>
          </cell>
          <cell r="J223" t="str">
            <v>3 - CUSTOS DIRETOS</v>
          </cell>
          <cell r="K223" t="str">
            <v>3 - CUSTOS DIRETOS1.005.003.011</v>
          </cell>
          <cell r="L223">
            <v>34721.39</v>
          </cell>
          <cell r="N223">
            <v>2808.28</v>
          </cell>
          <cell r="O223">
            <v>0</v>
          </cell>
          <cell r="P223">
            <v>0</v>
          </cell>
          <cell r="Q223">
            <v>0</v>
          </cell>
          <cell r="R223">
            <v>2808.28</v>
          </cell>
          <cell r="T223">
            <v>0</v>
          </cell>
          <cell r="U223">
            <v>2808.28</v>
          </cell>
          <cell r="V223">
            <v>31913.11</v>
          </cell>
        </row>
        <row r="224">
          <cell r="D224" t="str">
            <v>Confecção De Formas P/ Lajes - 12º Pavimento</v>
          </cell>
          <cell r="E224">
            <v>0</v>
          </cell>
          <cell r="F224" t="str">
            <v>m2</v>
          </cell>
          <cell r="G224">
            <v>0</v>
          </cell>
          <cell r="H224">
            <v>0</v>
          </cell>
          <cell r="I224" t="str">
            <v>01.005.003.012 - Confecção De Formas P/ Lajes - 12º Pavimento</v>
          </cell>
          <cell r="J224" t="str">
            <v>3 - CUSTOS DIRETOS</v>
          </cell>
          <cell r="K224" t="str">
            <v>3 - CUSTOS DIRETOS1.005.003.012</v>
          </cell>
          <cell r="L224">
            <v>0</v>
          </cell>
          <cell r="N224">
            <v>4490.3100000000004</v>
          </cell>
          <cell r="O224">
            <v>0</v>
          </cell>
          <cell r="P224">
            <v>0</v>
          </cell>
          <cell r="Q224">
            <v>0</v>
          </cell>
          <cell r="R224">
            <v>4490.3100000000004</v>
          </cell>
          <cell r="T224">
            <v>0</v>
          </cell>
          <cell r="U224">
            <v>4490.3100000000004</v>
          </cell>
          <cell r="V224">
            <v>-4490.3100000000004</v>
          </cell>
        </row>
        <row r="225">
          <cell r="D225" t="str">
            <v>Confecção De Formas P/ Lajes - 13º Pavimento</v>
          </cell>
          <cell r="E225">
            <v>0</v>
          </cell>
          <cell r="F225" t="str">
            <v>m2</v>
          </cell>
          <cell r="G225">
            <v>0</v>
          </cell>
          <cell r="H225">
            <v>0</v>
          </cell>
          <cell r="I225" t="str">
            <v>01.005.003.013 - Confecção De Formas P/ Lajes - 13º Pavimento</v>
          </cell>
          <cell r="J225" t="str">
            <v>3 - CUSTOS DIRETOS</v>
          </cell>
          <cell r="K225" t="str">
            <v>3 - CUSTOS DIRETOS1.005.003.013</v>
          </cell>
          <cell r="L225">
            <v>0</v>
          </cell>
          <cell r="N225">
            <v>4667.63</v>
          </cell>
          <cell r="O225">
            <v>0</v>
          </cell>
          <cell r="P225">
            <v>0</v>
          </cell>
          <cell r="Q225">
            <v>0</v>
          </cell>
          <cell r="R225">
            <v>4667.63</v>
          </cell>
          <cell r="T225">
            <v>0</v>
          </cell>
          <cell r="U225">
            <v>4667.63</v>
          </cell>
          <cell r="V225">
            <v>-4667.63</v>
          </cell>
        </row>
        <row r="226">
          <cell r="D226" t="str">
            <v>Confecção De Formas P/ Lajes - 14º Pavimento</v>
          </cell>
          <cell r="E226">
            <v>0</v>
          </cell>
          <cell r="F226" t="str">
            <v>m2</v>
          </cell>
          <cell r="G226">
            <v>0</v>
          </cell>
          <cell r="H226">
            <v>0</v>
          </cell>
          <cell r="I226" t="str">
            <v>01.005.003.014 - Confecção De Formas P/ Lajes - 14º Pavimento</v>
          </cell>
          <cell r="J226" t="str">
            <v>3 - CUSTOS DIRETOS</v>
          </cell>
          <cell r="K226" t="str">
            <v>3 - CUSTOS DIRETOS1.005.003.014</v>
          </cell>
          <cell r="L226">
            <v>0</v>
          </cell>
          <cell r="N226">
            <v>4883.07</v>
          </cell>
          <cell r="O226">
            <v>0</v>
          </cell>
          <cell r="P226">
            <v>0</v>
          </cell>
          <cell r="Q226">
            <v>0</v>
          </cell>
          <cell r="R226">
            <v>4883.07</v>
          </cell>
          <cell r="T226">
            <v>0</v>
          </cell>
          <cell r="U226">
            <v>4883.07</v>
          </cell>
          <cell r="V226">
            <v>-4883.07</v>
          </cell>
        </row>
        <row r="227">
          <cell r="D227" t="str">
            <v>Confecção De Formas P/ Lajes - 15º Pavimento</v>
          </cell>
          <cell r="E227">
            <v>0</v>
          </cell>
          <cell r="F227" t="str">
            <v>m2</v>
          </cell>
          <cell r="G227">
            <v>0</v>
          </cell>
          <cell r="H227">
            <v>0</v>
          </cell>
          <cell r="I227" t="str">
            <v>01.005.003.015 - Confecção De Formas P/ Lajes - 15º Pavimento</v>
          </cell>
          <cell r="J227" t="str">
            <v>3 - CUSTOS DIRETOS</v>
          </cell>
          <cell r="K227" t="str">
            <v>3 - CUSTOS DIRETOS1.005.003.015</v>
          </cell>
          <cell r="L227">
            <v>0</v>
          </cell>
          <cell r="N227">
            <v>5143.7199999999993</v>
          </cell>
          <cell r="O227">
            <v>0</v>
          </cell>
          <cell r="P227">
            <v>0</v>
          </cell>
          <cell r="Q227">
            <v>0</v>
          </cell>
          <cell r="R227">
            <v>5143.7199999999993</v>
          </cell>
          <cell r="T227">
            <v>0</v>
          </cell>
          <cell r="U227">
            <v>5143.7199999999993</v>
          </cell>
          <cell r="V227">
            <v>-5143.7199999999993</v>
          </cell>
        </row>
        <row r="228">
          <cell r="D228" t="str">
            <v>Confecção De Formas P/ Lajes - Cobertura</v>
          </cell>
          <cell r="E228">
            <v>822.18</v>
          </cell>
          <cell r="F228" t="str">
            <v>m2</v>
          </cell>
          <cell r="G228">
            <v>68240.94</v>
          </cell>
          <cell r="H228">
            <v>0</v>
          </cell>
          <cell r="I228" t="str">
            <v>01.005.003.016 - Confecção De Formas P/ Lajes - Cobertura</v>
          </cell>
          <cell r="J228" t="str">
            <v>3 - CUSTOS DIRETOS</v>
          </cell>
          <cell r="K228" t="str">
            <v>3 - CUSTOS DIRETOS1.005.003.016</v>
          </cell>
          <cell r="L228">
            <v>68240.94</v>
          </cell>
          <cell r="N228">
            <v>19380.309999999998</v>
          </cell>
          <cell r="O228">
            <v>0</v>
          </cell>
          <cell r="P228">
            <v>0</v>
          </cell>
          <cell r="Q228">
            <v>0</v>
          </cell>
          <cell r="R228">
            <v>19380.309999999998</v>
          </cell>
          <cell r="T228">
            <v>0</v>
          </cell>
          <cell r="U228">
            <v>19380.309999999998</v>
          </cell>
          <cell r="V228">
            <v>48860.630000000005</v>
          </cell>
        </row>
        <row r="229">
          <cell r="D229" t="str">
            <v>CORTE, DOBRA E MONTAGEM DE AÇO</v>
          </cell>
          <cell r="I229" t="str">
            <v>01.005.004 - CORTE, DOBRA E MONTAGEM DE AÇO</v>
          </cell>
          <cell r="J229" t="str">
            <v>3 - CUSTOS DIRETOS</v>
          </cell>
          <cell r="K229" t="str">
            <v>3 - CUSTOS DIRETOS1.005.004</v>
          </cell>
          <cell r="L229">
            <v>1669340.5799999998</v>
          </cell>
          <cell r="N229">
            <v>1331633.79</v>
          </cell>
          <cell r="O229">
            <v>0</v>
          </cell>
          <cell r="P229">
            <v>0</v>
          </cell>
          <cell r="Q229">
            <v>0</v>
          </cell>
          <cell r="R229">
            <v>1331633.79</v>
          </cell>
          <cell r="T229">
            <v>0</v>
          </cell>
          <cell r="U229">
            <v>1331633.79</v>
          </cell>
          <cell r="V229">
            <v>337706.7899999998</v>
          </cell>
        </row>
        <row r="230">
          <cell r="D230" t="str">
            <v>Corte, Dobra E Montagem De Aço - Res. Inf Ao Pil</v>
          </cell>
          <cell r="E230">
            <v>77502.899999999994</v>
          </cell>
          <cell r="F230" t="str">
            <v>kg</v>
          </cell>
          <cell r="G230">
            <v>799054.9</v>
          </cell>
          <cell r="H230">
            <v>0</v>
          </cell>
          <cell r="I230" t="str">
            <v>01.005.004.001 - Corte, Dobra E Montagem De Aço - Res. Inf Ao Pil</v>
          </cell>
          <cell r="J230" t="str">
            <v>3 - CUSTOS DIRETOS</v>
          </cell>
          <cell r="K230" t="str">
            <v>3 - CUSTOS DIRETOS1.005.004.001</v>
          </cell>
          <cell r="L230">
            <v>799054.9</v>
          </cell>
          <cell r="N230">
            <v>713764.24</v>
          </cell>
          <cell r="O230">
            <v>0</v>
          </cell>
          <cell r="P230">
            <v>0</v>
          </cell>
          <cell r="Q230">
            <v>0</v>
          </cell>
          <cell r="R230">
            <v>713764.24</v>
          </cell>
          <cell r="T230">
            <v>0</v>
          </cell>
          <cell r="U230">
            <v>713764.24</v>
          </cell>
          <cell r="V230">
            <v>85290.660000000033</v>
          </cell>
        </row>
        <row r="231">
          <cell r="D231" t="str">
            <v>Corte, Dobra E Montagem De Aço - 2º Pavimento</v>
          </cell>
          <cell r="E231">
            <v>7680.1</v>
          </cell>
          <cell r="F231" t="str">
            <v>kg</v>
          </cell>
          <cell r="G231">
            <v>79181.83</v>
          </cell>
          <cell r="H231">
            <v>0</v>
          </cell>
          <cell r="I231" t="str">
            <v>01.005.004.002 - Corte, Dobra E Montagem De Aço - 2º Pavimento</v>
          </cell>
          <cell r="J231" t="str">
            <v>3 - CUSTOS DIRETOS</v>
          </cell>
          <cell r="K231" t="str">
            <v>3 - CUSTOS DIRETOS1.005.004.002</v>
          </cell>
          <cell r="L231">
            <v>79181.83</v>
          </cell>
          <cell r="N231">
            <v>41477.370000000003</v>
          </cell>
          <cell r="O231">
            <v>0</v>
          </cell>
          <cell r="P231">
            <v>0</v>
          </cell>
          <cell r="Q231">
            <v>0</v>
          </cell>
          <cell r="R231">
            <v>41477.370000000003</v>
          </cell>
          <cell r="T231">
            <v>0</v>
          </cell>
          <cell r="U231">
            <v>41477.370000000003</v>
          </cell>
          <cell r="V231">
            <v>37704.46</v>
          </cell>
        </row>
        <row r="232">
          <cell r="D232" t="str">
            <v>Corte, Dobra E Montagem De Aço - 3º Pavimento</v>
          </cell>
          <cell r="E232">
            <v>7680.1</v>
          </cell>
          <cell r="F232" t="str">
            <v>kg</v>
          </cell>
          <cell r="G232">
            <v>79181.83</v>
          </cell>
          <cell r="H232">
            <v>0</v>
          </cell>
          <cell r="I232" t="str">
            <v>01.005.004.003 - Corte, Dobra E Montagem De Aço - 3º Pavimento</v>
          </cell>
          <cell r="J232" t="str">
            <v>3 - CUSTOS DIRETOS</v>
          </cell>
          <cell r="K232" t="str">
            <v>3 - CUSTOS DIRETOS1.005.004.003</v>
          </cell>
          <cell r="L232">
            <v>79181.83</v>
          </cell>
          <cell r="N232">
            <v>76763.180000000008</v>
          </cell>
          <cell r="O232">
            <v>0</v>
          </cell>
          <cell r="P232">
            <v>0</v>
          </cell>
          <cell r="Q232">
            <v>0</v>
          </cell>
          <cell r="R232">
            <v>76763.180000000008</v>
          </cell>
          <cell r="T232">
            <v>0</v>
          </cell>
          <cell r="U232">
            <v>76763.180000000008</v>
          </cell>
          <cell r="V232">
            <v>2418.6499999999942</v>
          </cell>
        </row>
        <row r="233">
          <cell r="D233" t="str">
            <v>Corte, Dobra E Montagem De Aço - 4º Pavimento</v>
          </cell>
          <cell r="E233">
            <v>6116.6</v>
          </cell>
          <cell r="F233" t="str">
            <v>kg</v>
          </cell>
          <cell r="G233">
            <v>63062.15</v>
          </cell>
          <cell r="H233">
            <v>0</v>
          </cell>
          <cell r="I233" t="str">
            <v>01.005.004.004 - Corte, Dobra E Montagem De Aço - 4º Pavimento</v>
          </cell>
          <cell r="J233" t="str">
            <v>3 - CUSTOS DIRETOS</v>
          </cell>
          <cell r="K233" t="str">
            <v>3 - CUSTOS DIRETOS1.005.004.004</v>
          </cell>
          <cell r="L233">
            <v>63062.15</v>
          </cell>
          <cell r="N233">
            <v>33217.409999999996</v>
          </cell>
          <cell r="O233">
            <v>0</v>
          </cell>
          <cell r="P233">
            <v>0</v>
          </cell>
          <cell r="Q233">
            <v>0</v>
          </cell>
          <cell r="R233">
            <v>33217.409999999996</v>
          </cell>
          <cell r="T233">
            <v>0</v>
          </cell>
          <cell r="U233">
            <v>33217.409999999996</v>
          </cell>
          <cell r="V233">
            <v>29844.740000000005</v>
          </cell>
        </row>
        <row r="234">
          <cell r="D234" t="str">
            <v>Corte, Dobra E Montagem De Aço - 5º Pavimento</v>
          </cell>
          <cell r="E234">
            <v>6116.6</v>
          </cell>
          <cell r="F234" t="str">
            <v>kg</v>
          </cell>
          <cell r="G234">
            <v>63062.15</v>
          </cell>
          <cell r="H234">
            <v>0</v>
          </cell>
          <cell r="I234" t="str">
            <v>01.005.004.005 - Corte, Dobra E Montagem De Aço - 5º Pavimento</v>
          </cell>
          <cell r="J234" t="str">
            <v>3 - CUSTOS DIRETOS</v>
          </cell>
          <cell r="K234" t="str">
            <v>3 - CUSTOS DIRETOS1.005.004.005</v>
          </cell>
          <cell r="L234">
            <v>63062.15</v>
          </cell>
          <cell r="N234">
            <v>51526.59</v>
          </cell>
          <cell r="O234">
            <v>0</v>
          </cell>
          <cell r="P234">
            <v>0</v>
          </cell>
          <cell r="Q234">
            <v>0</v>
          </cell>
          <cell r="R234">
            <v>51526.59</v>
          </cell>
          <cell r="T234">
            <v>0</v>
          </cell>
          <cell r="U234">
            <v>51526.59</v>
          </cell>
          <cell r="V234">
            <v>11535.560000000005</v>
          </cell>
        </row>
        <row r="235">
          <cell r="D235" t="str">
            <v>Corte, Dobra E Montagem De Aço - 6º Pavimento</v>
          </cell>
          <cell r="E235">
            <v>6116.6</v>
          </cell>
          <cell r="F235" t="str">
            <v>kg</v>
          </cell>
          <cell r="G235">
            <v>63062.15</v>
          </cell>
          <cell r="H235">
            <v>0</v>
          </cell>
          <cell r="I235" t="str">
            <v>01.005.004.006 - Corte, Dobra E Montagem De Aço - 6º Pavimento</v>
          </cell>
          <cell r="J235" t="str">
            <v>3 - CUSTOS DIRETOS</v>
          </cell>
          <cell r="K235" t="str">
            <v>3 - CUSTOS DIRETOS1.005.004.006</v>
          </cell>
          <cell r="L235">
            <v>63062.15</v>
          </cell>
          <cell r="N235">
            <v>44624.27</v>
          </cell>
          <cell r="O235">
            <v>0</v>
          </cell>
          <cell r="P235">
            <v>0</v>
          </cell>
          <cell r="Q235">
            <v>0</v>
          </cell>
          <cell r="R235">
            <v>44624.27</v>
          </cell>
          <cell r="T235">
            <v>0</v>
          </cell>
          <cell r="U235">
            <v>44624.27</v>
          </cell>
          <cell r="V235">
            <v>18437.880000000005</v>
          </cell>
        </row>
        <row r="236">
          <cell r="D236" t="str">
            <v>Corte, Dobra E Montagem De Aço - 7º Pavimento</v>
          </cell>
          <cell r="E236">
            <v>5184.6000000000004</v>
          </cell>
          <cell r="F236" t="str">
            <v>kg</v>
          </cell>
          <cell r="G236">
            <v>53453.23</v>
          </cell>
          <cell r="H236">
            <v>0</v>
          </cell>
          <cell r="I236" t="str">
            <v>01.005.004.007 - Corte, Dobra E Montagem De Aço - 7º Pavimento</v>
          </cell>
          <cell r="J236" t="str">
            <v>3 - CUSTOS DIRETOS</v>
          </cell>
          <cell r="K236" t="str">
            <v>3 - CUSTOS DIRETOS1.005.004.007</v>
          </cell>
          <cell r="L236">
            <v>53453.23</v>
          </cell>
          <cell r="N236">
            <v>38416.98000000001</v>
          </cell>
          <cell r="O236">
            <v>0</v>
          </cell>
          <cell r="P236">
            <v>0</v>
          </cell>
          <cell r="Q236">
            <v>0</v>
          </cell>
          <cell r="R236">
            <v>38416.98000000001</v>
          </cell>
          <cell r="T236">
            <v>0</v>
          </cell>
          <cell r="U236">
            <v>38416.98000000001</v>
          </cell>
          <cell r="V236">
            <v>15036.249999999993</v>
          </cell>
        </row>
        <row r="237">
          <cell r="D237" t="str">
            <v>Corte, Dobra E Montagem De Aço - 8º Pavimento</v>
          </cell>
          <cell r="E237">
            <v>5184.6000000000004</v>
          </cell>
          <cell r="F237" t="str">
            <v>kg</v>
          </cell>
          <cell r="G237">
            <v>53453.23</v>
          </cell>
          <cell r="H237">
            <v>0</v>
          </cell>
          <cell r="I237" t="str">
            <v>01.005.004.008 - Corte, Dobra E Montagem De Aço - 8º Pavimento</v>
          </cell>
          <cell r="J237" t="str">
            <v>3 - CUSTOS DIRETOS</v>
          </cell>
          <cell r="K237" t="str">
            <v>3 - CUSTOS DIRETOS1.005.004.008</v>
          </cell>
          <cell r="L237">
            <v>53453.23</v>
          </cell>
          <cell r="N237">
            <v>44580.42</v>
          </cell>
          <cell r="O237">
            <v>0</v>
          </cell>
          <cell r="P237">
            <v>0</v>
          </cell>
          <cell r="Q237">
            <v>0</v>
          </cell>
          <cell r="R237">
            <v>44580.42</v>
          </cell>
          <cell r="T237">
            <v>0</v>
          </cell>
          <cell r="U237">
            <v>44580.42</v>
          </cell>
          <cell r="V237">
            <v>8872.8100000000049</v>
          </cell>
        </row>
        <row r="238">
          <cell r="D238" t="str">
            <v>Corte, Dobra E Montagem De Aço - 9º Pavimento</v>
          </cell>
          <cell r="E238">
            <v>5184.6000000000004</v>
          </cell>
          <cell r="F238" t="str">
            <v>kg</v>
          </cell>
          <cell r="G238">
            <v>53453.23</v>
          </cell>
          <cell r="H238">
            <v>0</v>
          </cell>
          <cell r="I238" t="str">
            <v>01.005.004.009 - Corte, Dobra E Montagem De Aço - 9º Pavimento</v>
          </cell>
          <cell r="J238" t="str">
            <v>3 - CUSTOS DIRETOS</v>
          </cell>
          <cell r="K238" t="str">
            <v>3 - CUSTOS DIRETOS1.005.004.009</v>
          </cell>
          <cell r="L238">
            <v>53453.23</v>
          </cell>
          <cell r="N238">
            <v>45170.48</v>
          </cell>
          <cell r="O238">
            <v>0</v>
          </cell>
          <cell r="P238">
            <v>0</v>
          </cell>
          <cell r="Q238">
            <v>0</v>
          </cell>
          <cell r="R238">
            <v>45170.48</v>
          </cell>
          <cell r="T238">
            <v>0</v>
          </cell>
          <cell r="U238">
            <v>45170.48</v>
          </cell>
          <cell r="V238">
            <v>8282.75</v>
          </cell>
        </row>
        <row r="239">
          <cell r="D239" t="str">
            <v>Corte, Dobra E Montagem De Aço - 10º Pavimento</v>
          </cell>
          <cell r="E239">
            <v>5184.6000000000004</v>
          </cell>
          <cell r="F239" t="str">
            <v>kg</v>
          </cell>
          <cell r="G239">
            <v>53453.23</v>
          </cell>
          <cell r="H239">
            <v>0</v>
          </cell>
          <cell r="I239" t="str">
            <v>01.005.004.010 - Corte, Dobra E Montagem De Aço - 10º Pavimento</v>
          </cell>
          <cell r="J239" t="str">
            <v>3 - CUSTOS DIRETOS</v>
          </cell>
          <cell r="K239" t="str">
            <v>3 - CUSTOS DIRETOS1.005.004.010</v>
          </cell>
          <cell r="L239">
            <v>53453.23</v>
          </cell>
          <cell r="N239">
            <v>30386.94</v>
          </cell>
          <cell r="O239">
            <v>0</v>
          </cell>
          <cell r="P239">
            <v>0</v>
          </cell>
          <cell r="Q239">
            <v>0</v>
          </cell>
          <cell r="R239">
            <v>30386.94</v>
          </cell>
          <cell r="T239">
            <v>0</v>
          </cell>
          <cell r="U239">
            <v>30386.94</v>
          </cell>
          <cell r="V239">
            <v>23066.290000000005</v>
          </cell>
        </row>
        <row r="240">
          <cell r="D240" t="str">
            <v>Corte, Dobra E Montagem De Aço - 11º Pavimento</v>
          </cell>
          <cell r="E240">
            <v>4512.1000000000004</v>
          </cell>
          <cell r="F240" t="str">
            <v>kg</v>
          </cell>
          <cell r="G240">
            <v>46519.75</v>
          </cell>
          <cell r="H240">
            <v>0</v>
          </cell>
          <cell r="I240" t="str">
            <v>01.005.004.011 - Corte, Dobra E Montagem De Aço - 11º Pavimento</v>
          </cell>
          <cell r="J240" t="str">
            <v>3 - CUSTOS DIRETOS</v>
          </cell>
          <cell r="K240" t="str">
            <v>3 - CUSTOS DIRETOS1.005.004.011</v>
          </cell>
          <cell r="L240">
            <v>46519.75</v>
          </cell>
          <cell r="N240">
            <v>39847.14</v>
          </cell>
          <cell r="O240">
            <v>0</v>
          </cell>
          <cell r="P240">
            <v>0</v>
          </cell>
          <cell r="Q240">
            <v>0</v>
          </cell>
          <cell r="R240">
            <v>39847.14</v>
          </cell>
          <cell r="T240">
            <v>0</v>
          </cell>
          <cell r="U240">
            <v>39847.14</v>
          </cell>
          <cell r="V240">
            <v>6672.6100000000006</v>
          </cell>
        </row>
        <row r="241">
          <cell r="D241" t="str">
            <v>Corte, Dobra E Montagem De Aço - 12º Pavimento</v>
          </cell>
          <cell r="E241">
            <v>4512.1000000000004</v>
          </cell>
          <cell r="F241" t="str">
            <v>kg</v>
          </cell>
          <cell r="G241">
            <v>46519.75</v>
          </cell>
          <cell r="H241">
            <v>0</v>
          </cell>
          <cell r="I241" t="str">
            <v>01.005.004.012 - Corte, Dobra E Montagem De Aço - 12º Pavimento</v>
          </cell>
          <cell r="J241" t="str">
            <v>3 - CUSTOS DIRETOS</v>
          </cell>
          <cell r="K241" t="str">
            <v>3 - CUSTOS DIRETOS1.005.004.012</v>
          </cell>
          <cell r="L241">
            <v>46519.75</v>
          </cell>
          <cell r="N241">
            <v>38292.65</v>
          </cell>
          <cell r="O241">
            <v>0</v>
          </cell>
          <cell r="P241">
            <v>0</v>
          </cell>
          <cell r="Q241">
            <v>0</v>
          </cell>
          <cell r="R241">
            <v>38292.65</v>
          </cell>
          <cell r="T241">
            <v>0</v>
          </cell>
          <cell r="U241">
            <v>38292.65</v>
          </cell>
          <cell r="V241">
            <v>8227.0999999999985</v>
          </cell>
        </row>
        <row r="242">
          <cell r="D242" t="str">
            <v>Corte, Dobra E Montagem De Aço - 13º Pavimento</v>
          </cell>
          <cell r="E242">
            <v>4512.1000000000004</v>
          </cell>
          <cell r="F242" t="str">
            <v>kg</v>
          </cell>
          <cell r="G242">
            <v>46519.75</v>
          </cell>
          <cell r="H242">
            <v>0</v>
          </cell>
          <cell r="I242" t="str">
            <v>01.005.004.013 - Corte, Dobra E Montagem De Aço - 13º Pavimento</v>
          </cell>
          <cell r="J242" t="str">
            <v>3 - CUSTOS DIRETOS</v>
          </cell>
          <cell r="K242" t="str">
            <v>3 - CUSTOS DIRETOS1.005.004.013</v>
          </cell>
          <cell r="L242">
            <v>46519.75</v>
          </cell>
          <cell r="N242">
            <v>30310.62</v>
          </cell>
          <cell r="O242">
            <v>0</v>
          </cell>
          <cell r="P242">
            <v>0</v>
          </cell>
          <cell r="Q242">
            <v>0</v>
          </cell>
          <cell r="R242">
            <v>30310.62</v>
          </cell>
          <cell r="T242">
            <v>0</v>
          </cell>
          <cell r="U242">
            <v>30310.62</v>
          </cell>
          <cell r="V242">
            <v>16209.130000000001</v>
          </cell>
        </row>
        <row r="243">
          <cell r="D243" t="str">
            <v>Corte, Dobra E Montagem De Aço - 14º Pavimento</v>
          </cell>
          <cell r="E243">
            <v>4512.1000000000004</v>
          </cell>
          <cell r="F243" t="str">
            <v>kg</v>
          </cell>
          <cell r="G243">
            <v>46519.75</v>
          </cell>
          <cell r="H243">
            <v>0</v>
          </cell>
          <cell r="I243" t="str">
            <v>01.005.004.014 - Corte, Dobra E Montagem De Aço - 14º Pavimento</v>
          </cell>
          <cell r="J243" t="str">
            <v>3 - CUSTOS DIRETOS</v>
          </cell>
          <cell r="K243" t="str">
            <v>3 - CUSTOS DIRETOS1.005.004.014</v>
          </cell>
          <cell r="L243">
            <v>46519.75</v>
          </cell>
          <cell r="N243">
            <v>29606.199999999997</v>
          </cell>
          <cell r="O243">
            <v>0</v>
          </cell>
          <cell r="P243">
            <v>0</v>
          </cell>
          <cell r="Q243">
            <v>0</v>
          </cell>
          <cell r="R243">
            <v>29606.199999999997</v>
          </cell>
          <cell r="T243">
            <v>0</v>
          </cell>
          <cell r="U243">
            <v>29606.199999999997</v>
          </cell>
          <cell r="V243">
            <v>16913.550000000003</v>
          </cell>
        </row>
        <row r="244">
          <cell r="D244" t="str">
            <v>Corte, Dobra E Montagem De Aço - 15º Pavimento</v>
          </cell>
          <cell r="E244">
            <v>4318.7</v>
          </cell>
          <cell r="F244" t="str">
            <v>kg</v>
          </cell>
          <cell r="G244">
            <v>44525.8</v>
          </cell>
          <cell r="H244">
            <v>0</v>
          </cell>
          <cell r="I244" t="str">
            <v>01.005.004.015 - Corte, Dobra E Montagem De Aço - 15º Pavimento</v>
          </cell>
          <cell r="J244" t="str">
            <v>3 - CUSTOS DIRETOS</v>
          </cell>
          <cell r="K244" t="str">
            <v>3 - CUSTOS DIRETOS1.005.004.015</v>
          </cell>
          <cell r="L244">
            <v>44525.8</v>
          </cell>
          <cell r="N244">
            <v>34111.579999999994</v>
          </cell>
          <cell r="O244">
            <v>0</v>
          </cell>
          <cell r="P244">
            <v>0</v>
          </cell>
          <cell r="Q244">
            <v>0</v>
          </cell>
          <cell r="R244">
            <v>34111.579999999994</v>
          </cell>
          <cell r="T244">
            <v>0</v>
          </cell>
          <cell r="U244">
            <v>34111.579999999994</v>
          </cell>
          <cell r="V244">
            <v>10414.220000000008</v>
          </cell>
        </row>
        <row r="245">
          <cell r="D245" t="str">
            <v>Corte, Dobra E Montagem De Aço - Cobertura</v>
          </cell>
          <cell r="E245">
            <v>7596.3</v>
          </cell>
          <cell r="F245" t="str">
            <v>kg</v>
          </cell>
          <cell r="G245">
            <v>78317.850000000006</v>
          </cell>
          <cell r="H245">
            <v>0</v>
          </cell>
          <cell r="I245" t="str">
            <v>01.005.004.016 - Corte, Dobra E Montagem De Aço - Cobertura</v>
          </cell>
          <cell r="J245" t="str">
            <v>3 - CUSTOS DIRETOS</v>
          </cell>
          <cell r="K245" t="str">
            <v>3 - CUSTOS DIRETOS1.005.004.016</v>
          </cell>
          <cell r="L245">
            <v>78317.850000000006</v>
          </cell>
          <cell r="N245">
            <v>39537.72</v>
          </cell>
          <cell r="O245">
            <v>0</v>
          </cell>
          <cell r="P245">
            <v>0</v>
          </cell>
          <cell r="Q245">
            <v>0</v>
          </cell>
          <cell r="R245">
            <v>39537.72</v>
          </cell>
          <cell r="T245">
            <v>0</v>
          </cell>
          <cell r="U245">
            <v>39537.72</v>
          </cell>
          <cell r="V245">
            <v>38780.130000000005</v>
          </cell>
        </row>
        <row r="246">
          <cell r="D246" t="str">
            <v>CONCRETO USINADO BOMBEAVEL</v>
          </cell>
          <cell r="I246" t="str">
            <v>01.005.005 - CONCRETO USINADO BOMBEAVEL</v>
          </cell>
          <cell r="J246" t="str">
            <v>3 - CUSTOS DIRETOS</v>
          </cell>
          <cell r="K246" t="str">
            <v>3 - CUSTOS DIRETOS1.005.005</v>
          </cell>
          <cell r="L246">
            <v>833763.48999999964</v>
          </cell>
          <cell r="N246">
            <v>985802.70000000019</v>
          </cell>
          <cell r="O246">
            <v>3366.9</v>
          </cell>
          <cell r="P246">
            <v>0</v>
          </cell>
          <cell r="Q246">
            <v>0</v>
          </cell>
          <cell r="R246">
            <v>989169.60000000021</v>
          </cell>
          <cell r="T246">
            <v>0</v>
          </cell>
          <cell r="U246">
            <v>989169.60000000021</v>
          </cell>
          <cell r="V246">
            <v>-155406.11000000057</v>
          </cell>
        </row>
        <row r="247">
          <cell r="D247" t="str">
            <v>Concreto Usinado Bombeavel Fck 40 Mpa - Res. Inf Ao Pil</v>
          </cell>
          <cell r="E247">
            <v>264.8</v>
          </cell>
          <cell r="F247" t="str">
            <v>vb</v>
          </cell>
          <cell r="G247">
            <v>176092</v>
          </cell>
          <cell r="H247">
            <v>0</v>
          </cell>
          <cell r="I247" t="str">
            <v>01.005.005.001 - Concreto Usinado Bombeavel Fck 40 Mpa - Res. Inf Ao Pil</v>
          </cell>
          <cell r="J247" t="str">
            <v>3 - CUSTOS DIRETOS</v>
          </cell>
          <cell r="K247" t="str">
            <v>3 - CUSTOS DIRETOS1.005.005.001</v>
          </cell>
          <cell r="L247">
            <v>176092</v>
          </cell>
          <cell r="N247">
            <v>195665.22</v>
          </cell>
          <cell r="O247">
            <v>3366.9</v>
          </cell>
          <cell r="P247">
            <v>0</v>
          </cell>
          <cell r="Q247">
            <v>0</v>
          </cell>
          <cell r="R247">
            <v>199032.12</v>
          </cell>
          <cell r="T247">
            <v>0</v>
          </cell>
          <cell r="U247">
            <v>199032.12</v>
          </cell>
          <cell r="V247">
            <v>-22940.119999999995</v>
          </cell>
        </row>
        <row r="248">
          <cell r="D248" t="str">
            <v>Concreto Usinado Bombeavel Fck 30 Mpa - Res. Inf Ao Pil</v>
          </cell>
          <cell r="E248">
            <v>153.72999999999999</v>
          </cell>
          <cell r="F248" t="str">
            <v>vb</v>
          </cell>
          <cell r="G248">
            <v>94344.1</v>
          </cell>
          <cell r="H248">
            <v>0</v>
          </cell>
          <cell r="I248" t="str">
            <v>01.005.005.002 - Concreto Usinado Bombeavel Fck 30 Mpa - Res. Inf Ao Pil</v>
          </cell>
          <cell r="J248" t="str">
            <v>3 - CUSTOS DIRETOS</v>
          </cell>
          <cell r="K248" t="str">
            <v>3 - CUSTOS DIRETOS1.005.005.002</v>
          </cell>
          <cell r="L248">
            <v>94344.1</v>
          </cell>
          <cell r="N248">
            <v>186183.44</v>
          </cell>
          <cell r="O248">
            <v>0</v>
          </cell>
          <cell r="P248">
            <v>0</v>
          </cell>
          <cell r="Q248">
            <v>0</v>
          </cell>
          <cell r="R248">
            <v>186183.44</v>
          </cell>
          <cell r="T248">
            <v>0</v>
          </cell>
          <cell r="U248">
            <v>186183.44</v>
          </cell>
          <cell r="V248">
            <v>-91839.34</v>
          </cell>
        </row>
        <row r="249">
          <cell r="D249" t="str">
            <v>Concreto Usinado Bombeavel Fck 30 Mpa - Cobertura</v>
          </cell>
          <cell r="E249">
            <v>32.04</v>
          </cell>
          <cell r="F249" t="str">
            <v>vb</v>
          </cell>
          <cell r="G249">
            <v>19662.95</v>
          </cell>
          <cell r="H249">
            <v>0</v>
          </cell>
          <cell r="I249" t="str">
            <v>01.005.005.003 - Concreto Usinado Bombeavel Fck 30 Mpa - Cobertura</v>
          </cell>
          <cell r="J249" t="str">
            <v>3 - CUSTOS DIRETOS</v>
          </cell>
          <cell r="K249" t="str">
            <v>3 - CUSTOS DIRETOS1.005.005.003</v>
          </cell>
          <cell r="L249">
            <v>19662.95</v>
          </cell>
          <cell r="N249">
            <v>18390.400000000001</v>
          </cell>
          <cell r="O249">
            <v>0</v>
          </cell>
          <cell r="P249">
            <v>0</v>
          </cell>
          <cell r="Q249">
            <v>0</v>
          </cell>
          <cell r="R249">
            <v>18390.400000000001</v>
          </cell>
          <cell r="T249">
            <v>0</v>
          </cell>
          <cell r="U249">
            <v>18390.400000000001</v>
          </cell>
          <cell r="V249">
            <v>1272.5499999999993</v>
          </cell>
        </row>
        <row r="250">
          <cell r="D250" t="str">
            <v>Concreto Usinado Bombeavel Fck 25 Mpa - 2º Pavimento</v>
          </cell>
          <cell r="E250">
            <v>60.38</v>
          </cell>
          <cell r="F250" t="str">
            <v>vb</v>
          </cell>
          <cell r="G250">
            <v>35865.72</v>
          </cell>
          <cell r="H250">
            <v>0</v>
          </cell>
          <cell r="I250" t="str">
            <v>01.005.005.004 - Concreto Usinado Bombeavel Fck 25 Mpa - 2º Pavimento</v>
          </cell>
          <cell r="J250" t="str">
            <v>3 - CUSTOS DIRETOS</v>
          </cell>
          <cell r="K250" t="str">
            <v>3 - CUSTOS DIRETOS1.005.005.004</v>
          </cell>
          <cell r="L250">
            <v>35865.72</v>
          </cell>
          <cell r="N250">
            <v>34387.560000000005</v>
          </cell>
          <cell r="O250">
            <v>0</v>
          </cell>
          <cell r="P250">
            <v>0</v>
          </cell>
          <cell r="Q250">
            <v>0</v>
          </cell>
          <cell r="R250">
            <v>34387.560000000005</v>
          </cell>
          <cell r="T250">
            <v>0</v>
          </cell>
          <cell r="U250">
            <v>34387.560000000005</v>
          </cell>
          <cell r="V250">
            <v>1478.1599999999962</v>
          </cell>
        </row>
        <row r="251">
          <cell r="D251" t="str">
            <v>Concreto Usinado Bombeavel Fck 25 Mpa - 3º Pavimento</v>
          </cell>
          <cell r="E251">
            <v>60.38</v>
          </cell>
          <cell r="F251" t="str">
            <v>vb</v>
          </cell>
          <cell r="G251">
            <v>35865.72</v>
          </cell>
          <cell r="H251">
            <v>0</v>
          </cell>
          <cell r="I251" t="str">
            <v>01.005.005.005 - Concreto Usinado Bombeavel Fck 25 Mpa - 3º Pavimento</v>
          </cell>
          <cell r="J251" t="str">
            <v>3 - CUSTOS DIRETOS</v>
          </cell>
          <cell r="K251" t="str">
            <v>3 - CUSTOS DIRETOS1.005.005.005</v>
          </cell>
          <cell r="L251">
            <v>35865.72</v>
          </cell>
          <cell r="N251">
            <v>34336.5</v>
          </cell>
          <cell r="O251">
            <v>0</v>
          </cell>
          <cell r="P251">
            <v>0</v>
          </cell>
          <cell r="Q251">
            <v>0</v>
          </cell>
          <cell r="R251">
            <v>34336.5</v>
          </cell>
          <cell r="T251">
            <v>0</v>
          </cell>
          <cell r="U251">
            <v>34336.5</v>
          </cell>
          <cell r="V251">
            <v>1529.2200000000012</v>
          </cell>
        </row>
        <row r="252">
          <cell r="D252" t="str">
            <v>Concreto Usinado Bombeavel Fck 25 Mpa - 4º Pavimento</v>
          </cell>
          <cell r="E252">
            <v>60.38</v>
          </cell>
          <cell r="F252" t="str">
            <v>vb</v>
          </cell>
          <cell r="G252">
            <v>35865.72</v>
          </cell>
          <cell r="H252">
            <v>0</v>
          </cell>
          <cell r="I252" t="str">
            <v>01.005.005.006 - Concreto Usinado Bombeavel Fck 25 Mpa - 4º Pavimento</v>
          </cell>
          <cell r="J252" t="str">
            <v>3 - CUSTOS DIRETOS</v>
          </cell>
          <cell r="K252" t="str">
            <v>3 - CUSTOS DIRETOS1.005.005.006</v>
          </cell>
          <cell r="L252">
            <v>35865.72</v>
          </cell>
          <cell r="N252">
            <v>35654</v>
          </cell>
          <cell r="O252">
            <v>0</v>
          </cell>
          <cell r="P252">
            <v>0</v>
          </cell>
          <cell r="Q252">
            <v>0</v>
          </cell>
          <cell r="R252">
            <v>35654</v>
          </cell>
          <cell r="T252">
            <v>0</v>
          </cell>
          <cell r="U252">
            <v>35654</v>
          </cell>
          <cell r="V252">
            <v>211.72000000000116</v>
          </cell>
        </row>
        <row r="253">
          <cell r="D253" t="str">
            <v>Concreto Usinado Bombeavel Fck 25 Mpa - 5º Pavimento</v>
          </cell>
          <cell r="E253">
            <v>60.38</v>
          </cell>
          <cell r="F253" t="str">
            <v>vb</v>
          </cell>
          <cell r="G253">
            <v>35865.72</v>
          </cell>
          <cell r="H253">
            <v>0</v>
          </cell>
          <cell r="I253" t="str">
            <v>01.005.005.007 - Concreto Usinado Bombeavel Fck 25 Mpa - 5º Pavimento</v>
          </cell>
          <cell r="J253" t="str">
            <v>3 - CUSTOS DIRETOS</v>
          </cell>
          <cell r="K253" t="str">
            <v>3 - CUSTOS DIRETOS1.005.005.007</v>
          </cell>
          <cell r="L253">
            <v>35865.72</v>
          </cell>
          <cell r="N253">
            <v>38058.620000000003</v>
          </cell>
          <cell r="O253">
            <v>0</v>
          </cell>
          <cell r="P253">
            <v>0</v>
          </cell>
          <cell r="Q253">
            <v>0</v>
          </cell>
          <cell r="R253">
            <v>38058.620000000003</v>
          </cell>
          <cell r="T253">
            <v>0</v>
          </cell>
          <cell r="U253">
            <v>38058.620000000003</v>
          </cell>
          <cell r="V253">
            <v>-2192.9000000000015</v>
          </cell>
        </row>
        <row r="254">
          <cell r="D254" t="str">
            <v>Concreto Usinado Bombeavel Fck 25 Mpa - 6º Pavimento</v>
          </cell>
          <cell r="E254">
            <v>60.38</v>
          </cell>
          <cell r="F254" t="str">
            <v>vb</v>
          </cell>
          <cell r="G254">
            <v>35865.72</v>
          </cell>
          <cell r="H254">
            <v>0</v>
          </cell>
          <cell r="I254" t="str">
            <v>01.005.005.008 - Concreto Usinado Bombeavel Fck 25 Mpa - 6º Pavimento</v>
          </cell>
          <cell r="J254" t="str">
            <v>3 - CUSTOS DIRETOS</v>
          </cell>
          <cell r="K254" t="str">
            <v>3 - CUSTOS DIRETOS1.005.005.008</v>
          </cell>
          <cell r="L254">
            <v>35865.72</v>
          </cell>
          <cell r="N254">
            <v>38058</v>
          </cell>
          <cell r="O254">
            <v>0</v>
          </cell>
          <cell r="P254">
            <v>0</v>
          </cell>
          <cell r="Q254">
            <v>0</v>
          </cell>
          <cell r="R254">
            <v>38058</v>
          </cell>
          <cell r="T254">
            <v>0</v>
          </cell>
          <cell r="U254">
            <v>38058</v>
          </cell>
          <cell r="V254">
            <v>-2192.2799999999988</v>
          </cell>
        </row>
        <row r="255">
          <cell r="D255" t="str">
            <v>Concreto Usinado Bombeavel Fck 25 Mpa - 7º Pavimento</v>
          </cell>
          <cell r="E255">
            <v>60.38</v>
          </cell>
          <cell r="F255" t="str">
            <v>vb</v>
          </cell>
          <cell r="G255">
            <v>35865.72</v>
          </cell>
          <cell r="H255">
            <v>0</v>
          </cell>
          <cell r="I255" t="str">
            <v>01.005.005.009 - Concreto Usinado Bombeavel Fck 25 Mpa - 7º Pavimento</v>
          </cell>
          <cell r="J255" t="str">
            <v>3 - CUSTOS DIRETOS</v>
          </cell>
          <cell r="K255" t="str">
            <v>3 - CUSTOS DIRETOS1.005.005.009</v>
          </cell>
          <cell r="L255">
            <v>35865.72</v>
          </cell>
          <cell r="N255">
            <v>38058.400000000001</v>
          </cell>
          <cell r="O255">
            <v>0</v>
          </cell>
          <cell r="P255">
            <v>0</v>
          </cell>
          <cell r="Q255">
            <v>0</v>
          </cell>
          <cell r="R255">
            <v>38058.400000000001</v>
          </cell>
          <cell r="T255">
            <v>0</v>
          </cell>
          <cell r="U255">
            <v>38058.400000000001</v>
          </cell>
          <cell r="V255">
            <v>-2192.6800000000003</v>
          </cell>
        </row>
        <row r="256">
          <cell r="D256" t="str">
            <v>Concreto Usinado Bombeavel Fck 25 Mpa - 8º Pavimento</v>
          </cell>
          <cell r="E256">
            <v>60.38</v>
          </cell>
          <cell r="F256" t="str">
            <v>vb</v>
          </cell>
          <cell r="G256">
            <v>35865.72</v>
          </cell>
          <cell r="H256">
            <v>0</v>
          </cell>
          <cell r="I256" t="str">
            <v>01.005.005.010 - Concreto Usinado Bombeavel Fck 25 Mpa - 8º Pavimento</v>
          </cell>
          <cell r="J256" t="str">
            <v>3 - CUSTOS DIRETOS</v>
          </cell>
          <cell r="K256" t="str">
            <v>3 - CUSTOS DIRETOS1.005.005.010</v>
          </cell>
          <cell r="L256">
            <v>35865.72</v>
          </cell>
          <cell r="N256">
            <v>38058</v>
          </cell>
          <cell r="O256">
            <v>0</v>
          </cell>
          <cell r="P256">
            <v>0</v>
          </cell>
          <cell r="Q256">
            <v>0</v>
          </cell>
          <cell r="R256">
            <v>38058</v>
          </cell>
          <cell r="T256">
            <v>0</v>
          </cell>
          <cell r="U256">
            <v>38058</v>
          </cell>
          <cell r="V256">
            <v>-2192.2799999999988</v>
          </cell>
        </row>
        <row r="257">
          <cell r="D257" t="str">
            <v>Concreto Usinado Bombeavel Fck 25 Mpa - 9º Pavimento</v>
          </cell>
          <cell r="E257">
            <v>60.38</v>
          </cell>
          <cell r="F257" t="str">
            <v>vb</v>
          </cell>
          <cell r="G257">
            <v>35865.72</v>
          </cell>
          <cell r="H257">
            <v>0</v>
          </cell>
          <cell r="I257" t="str">
            <v>01.005.005.011 - Concreto Usinado Bombeavel Fck 25 Mpa - 9º Pavimento</v>
          </cell>
          <cell r="J257" t="str">
            <v>3 - CUSTOS DIRETOS</v>
          </cell>
          <cell r="K257" t="str">
            <v>3 - CUSTOS DIRETOS1.005.005.011</v>
          </cell>
          <cell r="L257">
            <v>35865.72</v>
          </cell>
          <cell r="N257">
            <v>38904.36</v>
          </cell>
          <cell r="O257">
            <v>0</v>
          </cell>
          <cell r="P257">
            <v>0</v>
          </cell>
          <cell r="Q257">
            <v>0</v>
          </cell>
          <cell r="R257">
            <v>38904.36</v>
          </cell>
          <cell r="T257">
            <v>0</v>
          </cell>
          <cell r="U257">
            <v>38904.36</v>
          </cell>
          <cell r="V257">
            <v>-3038.6399999999994</v>
          </cell>
        </row>
        <row r="258">
          <cell r="D258" t="str">
            <v>Concreto Usinado Bombeavel Fck 25 Mpa - 10º Pavimento</v>
          </cell>
          <cell r="E258">
            <v>60.38</v>
          </cell>
          <cell r="F258" t="str">
            <v>vb</v>
          </cell>
          <cell r="G258">
            <v>35865.72</v>
          </cell>
          <cell r="H258">
            <v>0</v>
          </cell>
          <cell r="I258" t="str">
            <v>01.005.005.012 - Concreto Usinado Bombeavel Fck 25 Mpa - 10º Pavimento</v>
          </cell>
          <cell r="J258" t="str">
            <v>3 - CUSTOS DIRETOS</v>
          </cell>
          <cell r="K258" t="str">
            <v>3 - CUSTOS DIRETOS1.005.005.012</v>
          </cell>
          <cell r="L258">
            <v>35865.72</v>
          </cell>
          <cell r="N258">
            <v>38959.259999999995</v>
          </cell>
          <cell r="O258">
            <v>0</v>
          </cell>
          <cell r="P258">
            <v>0</v>
          </cell>
          <cell r="Q258">
            <v>0</v>
          </cell>
          <cell r="R258">
            <v>38959.259999999995</v>
          </cell>
          <cell r="T258">
            <v>0</v>
          </cell>
          <cell r="U258">
            <v>38959.259999999995</v>
          </cell>
          <cell r="V258">
            <v>-3093.5399999999936</v>
          </cell>
        </row>
        <row r="259">
          <cell r="D259" t="str">
            <v>Concreto Usinado Bombeavel Fck 25 Mpa - 11º Pavimento</v>
          </cell>
          <cell r="E259">
            <v>60.38</v>
          </cell>
          <cell r="F259" t="str">
            <v>vb</v>
          </cell>
          <cell r="G259">
            <v>35865.72</v>
          </cell>
          <cell r="H259">
            <v>0</v>
          </cell>
          <cell r="I259" t="str">
            <v>01.005.005.013 - Concreto Usinado Bombeavel Fck 25 Mpa - 11º Pavimento</v>
          </cell>
          <cell r="J259" t="str">
            <v>3 - CUSTOS DIRETOS</v>
          </cell>
          <cell r="K259" t="str">
            <v>3 - CUSTOS DIRETOS1.005.005.013</v>
          </cell>
          <cell r="L259">
            <v>35865.72</v>
          </cell>
          <cell r="N259">
            <v>38058</v>
          </cell>
          <cell r="O259">
            <v>0</v>
          </cell>
          <cell r="P259">
            <v>0</v>
          </cell>
          <cell r="Q259">
            <v>0</v>
          </cell>
          <cell r="R259">
            <v>38058</v>
          </cell>
          <cell r="T259">
            <v>0</v>
          </cell>
          <cell r="U259">
            <v>38058</v>
          </cell>
          <cell r="V259">
            <v>-2192.2799999999988</v>
          </cell>
        </row>
        <row r="260">
          <cell r="D260" t="str">
            <v>Concreto Usinado Bombeavel Fck 25 Mpa - 12º Pavimento</v>
          </cell>
          <cell r="E260">
            <v>60.38</v>
          </cell>
          <cell r="F260" t="str">
            <v>vb</v>
          </cell>
          <cell r="G260">
            <v>35865.72</v>
          </cell>
          <cell r="H260">
            <v>0</v>
          </cell>
          <cell r="I260" t="str">
            <v>01.005.005.014 - Concreto Usinado Bombeavel Fck 25 Mpa - 12º Pavimento</v>
          </cell>
          <cell r="J260" t="str">
            <v>3 - CUSTOS DIRETOS</v>
          </cell>
          <cell r="K260" t="str">
            <v>3 - CUSTOS DIRETOS1.005.005.014</v>
          </cell>
          <cell r="L260">
            <v>35865.72</v>
          </cell>
          <cell r="N260">
            <v>42490.9</v>
          </cell>
          <cell r="O260">
            <v>0</v>
          </cell>
          <cell r="P260">
            <v>0</v>
          </cell>
          <cell r="Q260">
            <v>0</v>
          </cell>
          <cell r="R260">
            <v>42490.9</v>
          </cell>
          <cell r="T260">
            <v>0</v>
          </cell>
          <cell r="U260">
            <v>42490.9</v>
          </cell>
          <cell r="V260">
            <v>-6625.18</v>
          </cell>
        </row>
        <row r="261">
          <cell r="D261" t="str">
            <v>Concreto Usinado Bombeavel Fck 25 Mpa - 13º Pavimento</v>
          </cell>
          <cell r="E261">
            <v>60.38</v>
          </cell>
          <cell r="F261" t="str">
            <v>vb</v>
          </cell>
          <cell r="G261">
            <v>35865.72</v>
          </cell>
          <cell r="H261">
            <v>0</v>
          </cell>
          <cell r="I261" t="str">
            <v>01.005.005.015 - Concreto Usinado Bombeavel Fck 25 Mpa - 13º Pavimento</v>
          </cell>
          <cell r="J261" t="str">
            <v>3 - CUSTOS DIRETOS</v>
          </cell>
          <cell r="K261" t="str">
            <v>3 - CUSTOS DIRETOS1.005.005.015</v>
          </cell>
          <cell r="L261">
            <v>35865.72</v>
          </cell>
          <cell r="N261">
            <v>42399.020000000004</v>
          </cell>
          <cell r="O261">
            <v>0</v>
          </cell>
          <cell r="P261">
            <v>0</v>
          </cell>
          <cell r="Q261">
            <v>0</v>
          </cell>
          <cell r="R261">
            <v>42399.020000000004</v>
          </cell>
          <cell r="T261">
            <v>0</v>
          </cell>
          <cell r="U261">
            <v>42399.020000000004</v>
          </cell>
          <cell r="V261">
            <v>-6533.3000000000029</v>
          </cell>
        </row>
        <row r="262">
          <cell r="D262" t="str">
            <v>Concreto Usinado Bombeavel Fck 25 Mpa - 14º Pavimento</v>
          </cell>
          <cell r="E262">
            <v>60.38</v>
          </cell>
          <cell r="F262" t="str">
            <v>vb</v>
          </cell>
          <cell r="G262">
            <v>35865.72</v>
          </cell>
          <cell r="H262">
            <v>0</v>
          </cell>
          <cell r="I262" t="str">
            <v>01.005.005.016 - Concreto Usinado Bombeavel Fck 25 Mpa - 14º Pavimento</v>
          </cell>
          <cell r="J262" t="str">
            <v>3 - CUSTOS DIRETOS</v>
          </cell>
          <cell r="K262" t="str">
            <v>3 - CUSTOS DIRETOS1.005.005.016</v>
          </cell>
          <cell r="L262">
            <v>35865.72</v>
          </cell>
          <cell r="N262">
            <v>42274.8</v>
          </cell>
          <cell r="O262">
            <v>0</v>
          </cell>
          <cell r="P262">
            <v>0</v>
          </cell>
          <cell r="Q262">
            <v>0</v>
          </cell>
          <cell r="R262">
            <v>42274.8</v>
          </cell>
          <cell r="T262">
            <v>0</v>
          </cell>
          <cell r="U262">
            <v>42274.8</v>
          </cell>
          <cell r="V262">
            <v>-6409.0800000000017</v>
          </cell>
        </row>
        <row r="263">
          <cell r="D263" t="str">
            <v>Concreto Usinado Bombeavel Fck 25 Mpa - 15º Pavimento</v>
          </cell>
          <cell r="E263">
            <v>60.38</v>
          </cell>
          <cell r="F263" t="str">
            <v>vb</v>
          </cell>
          <cell r="G263">
            <v>35865.72</v>
          </cell>
          <cell r="H263">
            <v>0</v>
          </cell>
          <cell r="I263" t="str">
            <v>01.005.005.017 - Concreto Usinado Bombeavel Fck 25 Mpa - 15º Pavimento</v>
          </cell>
          <cell r="J263" t="str">
            <v>3 - CUSTOS DIRETOS</v>
          </cell>
          <cell r="K263" t="str">
            <v>3 - CUSTOS DIRETOS1.005.005.017</v>
          </cell>
          <cell r="L263">
            <v>35865.72</v>
          </cell>
          <cell r="N263">
            <v>42399.020000000004</v>
          </cell>
          <cell r="O263">
            <v>0</v>
          </cell>
          <cell r="P263">
            <v>0</v>
          </cell>
          <cell r="Q263">
            <v>0</v>
          </cell>
          <cell r="R263">
            <v>42399.020000000004</v>
          </cell>
          <cell r="T263">
            <v>0</v>
          </cell>
          <cell r="U263">
            <v>42399.020000000004</v>
          </cell>
          <cell r="V263">
            <v>-6533.3000000000029</v>
          </cell>
        </row>
        <row r="264">
          <cell r="D264" t="str">
            <v>Concreto Usinado Bombeavel Fck 25 Mpa - Cobertura</v>
          </cell>
          <cell r="E264">
            <v>69.94</v>
          </cell>
          <cell r="F264" t="str">
            <v>vb</v>
          </cell>
          <cell r="G264">
            <v>41544.36</v>
          </cell>
          <cell r="H264">
            <v>0</v>
          </cell>
          <cell r="I264" t="str">
            <v>01.005.005.018 - Concreto Usinado Bombeavel Fck 25 Mpa - Cobertura</v>
          </cell>
          <cell r="J264" t="str">
            <v>3 - CUSTOS DIRETOS</v>
          </cell>
          <cell r="K264" t="str">
            <v>3 - CUSTOS DIRETOS1.005.005.018</v>
          </cell>
          <cell r="L264">
            <v>41544.36</v>
          </cell>
          <cell r="N264">
            <v>43467.199999999997</v>
          </cell>
          <cell r="O264">
            <v>0</v>
          </cell>
          <cell r="P264">
            <v>0</v>
          </cell>
          <cell r="Q264">
            <v>0</v>
          </cell>
          <cell r="R264">
            <v>43467.199999999997</v>
          </cell>
          <cell r="T264">
            <v>0</v>
          </cell>
          <cell r="U264">
            <v>43467.199999999997</v>
          </cell>
          <cell r="V264">
            <v>-1922.8399999999965</v>
          </cell>
        </row>
        <row r="265">
          <cell r="D265" t="str">
            <v>LANÇAMENTO DE CONCRETO</v>
          </cell>
          <cell r="I265" t="str">
            <v>01.005.006 - LANÇAMENTO DE CONCRETO</v>
          </cell>
          <cell r="J265" t="str">
            <v>3 - CUSTOS DIRETOS</v>
          </cell>
          <cell r="K265" t="str">
            <v>3 - CUSTOS DIRETOS1.005.006</v>
          </cell>
          <cell r="L265">
            <v>68291.5</v>
          </cell>
          <cell r="N265">
            <v>190731.34</v>
          </cell>
          <cell r="O265">
            <v>3048.7</v>
          </cell>
          <cell r="P265">
            <v>0</v>
          </cell>
          <cell r="Q265">
            <v>0</v>
          </cell>
          <cell r="R265">
            <v>193780.04</v>
          </cell>
          <cell r="T265">
            <v>0</v>
          </cell>
          <cell r="U265">
            <v>193780.04</v>
          </cell>
          <cell r="V265">
            <v>-125488.54000000001</v>
          </cell>
        </row>
        <row r="266">
          <cell r="D266" t="str">
            <v>Lançamento De Concreto - Res. Inf Ao Pil</v>
          </cell>
          <cell r="E266">
            <v>418.53</v>
          </cell>
          <cell r="F266" t="str">
            <v>vb</v>
          </cell>
          <cell r="G266">
            <v>20926.5</v>
          </cell>
          <cell r="H266">
            <v>0</v>
          </cell>
          <cell r="I266" t="str">
            <v>01.005.006.001 - Lançamento De Concreto - Res. Inf Ao Pil</v>
          </cell>
          <cell r="J266" t="str">
            <v>3 - CUSTOS DIRETOS</v>
          </cell>
          <cell r="K266" t="str">
            <v>3 - CUSTOS DIRETOS1.005.006.001</v>
          </cell>
          <cell r="L266">
            <v>20926.5</v>
          </cell>
          <cell r="N266">
            <v>30855.879999999997</v>
          </cell>
          <cell r="O266">
            <v>3048.7</v>
          </cell>
          <cell r="P266">
            <v>0</v>
          </cell>
          <cell r="Q266">
            <v>0</v>
          </cell>
          <cell r="R266">
            <v>33904.579999999994</v>
          </cell>
          <cell r="T266">
            <v>0</v>
          </cell>
          <cell r="U266">
            <v>33904.579999999994</v>
          </cell>
          <cell r="V266">
            <v>-12978.079999999994</v>
          </cell>
        </row>
        <row r="267">
          <cell r="D267" t="str">
            <v>Lançamento De Concreto - 2º Pavimento</v>
          </cell>
          <cell r="E267">
            <v>60.38</v>
          </cell>
          <cell r="F267" t="str">
            <v>vb</v>
          </cell>
          <cell r="G267">
            <v>3019</v>
          </cell>
          <cell r="H267">
            <v>0</v>
          </cell>
          <cell r="I267" t="str">
            <v>01.005.006.002 - Lançamento De Concreto - 2º Pavimento</v>
          </cell>
          <cell r="J267" t="str">
            <v>3 - CUSTOS DIRETOS</v>
          </cell>
          <cell r="K267" t="str">
            <v>3 - CUSTOS DIRETOS1.005.006.002</v>
          </cell>
          <cell r="L267">
            <v>3019</v>
          </cell>
          <cell r="N267">
            <v>11192.67</v>
          </cell>
          <cell r="O267">
            <v>0</v>
          </cell>
          <cell r="P267">
            <v>0</v>
          </cell>
          <cell r="Q267">
            <v>0</v>
          </cell>
          <cell r="R267">
            <v>11192.67</v>
          </cell>
          <cell r="T267">
            <v>0</v>
          </cell>
          <cell r="U267">
            <v>11192.67</v>
          </cell>
          <cell r="V267">
            <v>-8173.67</v>
          </cell>
        </row>
        <row r="268">
          <cell r="D268" t="str">
            <v>Lançamento De Concreto - 3º Pavimento</v>
          </cell>
          <cell r="E268">
            <v>60.38</v>
          </cell>
          <cell r="F268" t="str">
            <v>vb</v>
          </cell>
          <cell r="G268">
            <v>3019</v>
          </cell>
          <cell r="H268">
            <v>0</v>
          </cell>
          <cell r="I268" t="str">
            <v>01.005.006.003 - Lançamento De Concreto - 3º Pavimento</v>
          </cell>
          <cell r="J268" t="str">
            <v>3 - CUSTOS DIRETOS</v>
          </cell>
          <cell r="K268" t="str">
            <v>3 - CUSTOS DIRETOS1.005.006.003</v>
          </cell>
          <cell r="L268">
            <v>3019</v>
          </cell>
          <cell r="N268">
            <v>4668.83</v>
          </cell>
          <cell r="O268">
            <v>0</v>
          </cell>
          <cell r="P268">
            <v>0</v>
          </cell>
          <cell r="Q268">
            <v>0</v>
          </cell>
          <cell r="R268">
            <v>4668.83</v>
          </cell>
          <cell r="T268">
            <v>0</v>
          </cell>
          <cell r="U268">
            <v>4668.83</v>
          </cell>
          <cell r="V268">
            <v>-1649.83</v>
          </cell>
        </row>
        <row r="269">
          <cell r="D269" t="str">
            <v>Lançamento De Concreto - 4º Pavimento</v>
          </cell>
          <cell r="E269">
            <v>60.38</v>
          </cell>
          <cell r="F269" t="str">
            <v>vb</v>
          </cell>
          <cell r="G269">
            <v>3019</v>
          </cell>
          <cell r="H269">
            <v>0</v>
          </cell>
          <cell r="I269" t="str">
            <v>01.005.006.004 - Lançamento De Concreto - 4º Pavimento</v>
          </cell>
          <cell r="J269" t="str">
            <v>3 - CUSTOS DIRETOS</v>
          </cell>
          <cell r="K269" t="str">
            <v>3 - CUSTOS DIRETOS1.005.006.004</v>
          </cell>
          <cell r="L269">
            <v>3019</v>
          </cell>
          <cell r="N269">
            <v>9143.739999999998</v>
          </cell>
          <cell r="O269">
            <v>0</v>
          </cell>
          <cell r="P269">
            <v>0</v>
          </cell>
          <cell r="Q269">
            <v>0</v>
          </cell>
          <cell r="R269">
            <v>9143.739999999998</v>
          </cell>
          <cell r="T269">
            <v>0</v>
          </cell>
          <cell r="U269">
            <v>9143.739999999998</v>
          </cell>
          <cell r="V269">
            <v>-6124.739999999998</v>
          </cell>
        </row>
        <row r="270">
          <cell r="D270" t="str">
            <v>Lançamento De Concreto - 5º Pavimento</v>
          </cell>
          <cell r="E270">
            <v>60.38</v>
          </cell>
          <cell r="F270" t="str">
            <v>vb</v>
          </cell>
          <cell r="G270">
            <v>3019</v>
          </cell>
          <cell r="H270">
            <v>0</v>
          </cell>
          <cell r="I270" t="str">
            <v>01.005.006.005 - Lançamento De Concreto - 5º Pavimento</v>
          </cell>
          <cell r="J270" t="str">
            <v>3 - CUSTOS DIRETOS</v>
          </cell>
          <cell r="K270" t="str">
            <v>3 - CUSTOS DIRETOS1.005.006.005</v>
          </cell>
          <cell r="L270">
            <v>3019</v>
          </cell>
          <cell r="N270">
            <v>16299.279999999997</v>
          </cell>
          <cell r="O270">
            <v>0</v>
          </cell>
          <cell r="P270">
            <v>0</v>
          </cell>
          <cell r="Q270">
            <v>0</v>
          </cell>
          <cell r="R270">
            <v>16299.279999999997</v>
          </cell>
          <cell r="T270">
            <v>0</v>
          </cell>
          <cell r="U270">
            <v>16299.279999999997</v>
          </cell>
          <cell r="V270">
            <v>-13280.279999999997</v>
          </cell>
        </row>
        <row r="271">
          <cell r="D271" t="str">
            <v>Lançamento De Concreto - 6º Pavimento</v>
          </cell>
          <cell r="E271">
            <v>60.38</v>
          </cell>
          <cell r="F271" t="str">
            <v>vb</v>
          </cell>
          <cell r="G271">
            <v>3019</v>
          </cell>
          <cell r="H271">
            <v>0</v>
          </cell>
          <cell r="I271" t="str">
            <v>01.005.006.006 - Lançamento De Concreto - 6º Pavimento</v>
          </cell>
          <cell r="J271" t="str">
            <v>3 - CUSTOS DIRETOS</v>
          </cell>
          <cell r="K271" t="str">
            <v>3 - CUSTOS DIRETOS1.005.006.006</v>
          </cell>
          <cell r="L271">
            <v>3019</v>
          </cell>
          <cell r="N271">
            <v>11867.010000000002</v>
          </cell>
          <cell r="O271">
            <v>0</v>
          </cell>
          <cell r="P271">
            <v>0</v>
          </cell>
          <cell r="Q271">
            <v>0</v>
          </cell>
          <cell r="R271">
            <v>11867.010000000002</v>
          </cell>
          <cell r="T271">
            <v>0</v>
          </cell>
          <cell r="U271">
            <v>11867.010000000002</v>
          </cell>
          <cell r="V271">
            <v>-8848.010000000002</v>
          </cell>
        </row>
        <row r="272">
          <cell r="D272" t="str">
            <v>Lançamento De Concreto - 7º Pavimento</v>
          </cell>
          <cell r="E272">
            <v>60.38</v>
          </cell>
          <cell r="F272" t="str">
            <v>vb</v>
          </cell>
          <cell r="G272">
            <v>3019</v>
          </cell>
          <cell r="H272">
            <v>0</v>
          </cell>
          <cell r="I272" t="str">
            <v>01.005.006.007 - Lançamento De Concreto - 7º Pavimento</v>
          </cell>
          <cell r="J272" t="str">
            <v>3 - CUSTOS DIRETOS</v>
          </cell>
          <cell r="K272" t="str">
            <v>3 - CUSTOS DIRETOS1.005.006.007</v>
          </cell>
          <cell r="L272">
            <v>3019</v>
          </cell>
          <cell r="N272">
            <v>7483.91</v>
          </cell>
          <cell r="O272">
            <v>0</v>
          </cell>
          <cell r="P272">
            <v>0</v>
          </cell>
          <cell r="Q272">
            <v>0</v>
          </cell>
          <cell r="R272">
            <v>7483.91</v>
          </cell>
          <cell r="T272">
            <v>0</v>
          </cell>
          <cell r="U272">
            <v>7483.91</v>
          </cell>
          <cell r="V272">
            <v>-4464.91</v>
          </cell>
        </row>
        <row r="273">
          <cell r="D273" t="str">
            <v>Lançamento De Concreto - 8º Pavimento</v>
          </cell>
          <cell r="E273">
            <v>60.38</v>
          </cell>
          <cell r="F273" t="str">
            <v>vb</v>
          </cell>
          <cell r="G273">
            <v>3019</v>
          </cell>
          <cell r="H273">
            <v>0</v>
          </cell>
          <cell r="I273" t="str">
            <v>01.005.006.008 - Lançamento De Concreto - 8º Pavimento</v>
          </cell>
          <cell r="J273" t="str">
            <v>3 - CUSTOS DIRETOS</v>
          </cell>
          <cell r="K273" t="str">
            <v>3 - CUSTOS DIRETOS1.005.006.008</v>
          </cell>
          <cell r="L273">
            <v>3019</v>
          </cell>
          <cell r="N273">
            <v>9084.06</v>
          </cell>
          <cell r="O273">
            <v>0</v>
          </cell>
          <cell r="P273">
            <v>0</v>
          </cell>
          <cell r="Q273">
            <v>0</v>
          </cell>
          <cell r="R273">
            <v>9084.06</v>
          </cell>
          <cell r="T273">
            <v>0</v>
          </cell>
          <cell r="U273">
            <v>9084.06</v>
          </cell>
          <cell r="V273">
            <v>-6065.0599999999995</v>
          </cell>
        </row>
        <row r="274">
          <cell r="D274" t="str">
            <v>Lançamento De Concreto - 9º Pavimento</v>
          </cell>
          <cell r="E274">
            <v>60.38</v>
          </cell>
          <cell r="F274" t="str">
            <v>vb</v>
          </cell>
          <cell r="G274">
            <v>3019</v>
          </cell>
          <cell r="H274">
            <v>0</v>
          </cell>
          <cell r="I274" t="str">
            <v>01.005.006.009 - Lançamento De Concreto - 9º Pavimento</v>
          </cell>
          <cell r="J274" t="str">
            <v>3 - CUSTOS DIRETOS</v>
          </cell>
          <cell r="K274" t="str">
            <v>3 - CUSTOS DIRETOS1.005.006.009</v>
          </cell>
          <cell r="L274">
            <v>3019</v>
          </cell>
          <cell r="N274">
            <v>10202.39</v>
          </cell>
          <cell r="O274">
            <v>0</v>
          </cell>
          <cell r="P274">
            <v>0</v>
          </cell>
          <cell r="Q274">
            <v>0</v>
          </cell>
          <cell r="R274">
            <v>10202.39</v>
          </cell>
          <cell r="T274">
            <v>0</v>
          </cell>
          <cell r="U274">
            <v>10202.39</v>
          </cell>
          <cell r="V274">
            <v>-7183.3899999999994</v>
          </cell>
        </row>
        <row r="275">
          <cell r="D275" t="str">
            <v>Lançamento De Concreto - 10º Pavimento</v>
          </cell>
          <cell r="E275">
            <v>60.38</v>
          </cell>
          <cell r="F275" t="str">
            <v>vb</v>
          </cell>
          <cell r="G275">
            <v>3019</v>
          </cell>
          <cell r="H275">
            <v>0</v>
          </cell>
          <cell r="I275" t="str">
            <v>01.005.006.010 - Lançamento De Concreto - 10º Pavimento</v>
          </cell>
          <cell r="J275" t="str">
            <v>3 - CUSTOS DIRETOS</v>
          </cell>
          <cell r="K275" t="str">
            <v>3 - CUSTOS DIRETOS1.005.006.010</v>
          </cell>
          <cell r="L275">
            <v>3019</v>
          </cell>
          <cell r="N275">
            <v>10211.570000000002</v>
          </cell>
          <cell r="O275">
            <v>0</v>
          </cell>
          <cell r="P275">
            <v>0</v>
          </cell>
          <cell r="Q275">
            <v>0</v>
          </cell>
          <cell r="R275">
            <v>10211.570000000002</v>
          </cell>
          <cell r="T275">
            <v>0</v>
          </cell>
          <cell r="U275">
            <v>10211.570000000002</v>
          </cell>
          <cell r="V275">
            <v>-7192.5700000000015</v>
          </cell>
        </row>
        <row r="276">
          <cell r="D276" t="str">
            <v>Lançamento De Concreto - 11º Pavimento</v>
          </cell>
          <cell r="E276">
            <v>60.38</v>
          </cell>
          <cell r="F276" t="str">
            <v>vb</v>
          </cell>
          <cell r="G276">
            <v>3019</v>
          </cell>
          <cell r="H276">
            <v>0</v>
          </cell>
          <cell r="I276" t="str">
            <v>01.005.006.011 - Lançamento De Concreto - 11º Pavimento</v>
          </cell>
          <cell r="J276" t="str">
            <v>3 - CUSTOS DIRETOS</v>
          </cell>
          <cell r="K276" t="str">
            <v>3 - CUSTOS DIRETOS1.005.006.011</v>
          </cell>
          <cell r="L276">
            <v>3019</v>
          </cell>
          <cell r="N276">
            <v>11207.380000000001</v>
          </cell>
          <cell r="O276">
            <v>0</v>
          </cell>
          <cell r="P276">
            <v>0</v>
          </cell>
          <cell r="Q276">
            <v>0</v>
          </cell>
          <cell r="R276">
            <v>11207.380000000001</v>
          </cell>
          <cell r="T276">
            <v>0</v>
          </cell>
          <cell r="U276">
            <v>11207.380000000001</v>
          </cell>
          <cell r="V276">
            <v>-8188.380000000001</v>
          </cell>
        </row>
        <row r="277">
          <cell r="D277" t="str">
            <v>Lançamento De Concreto - 12º Pavimento</v>
          </cell>
          <cell r="E277">
            <v>60.38</v>
          </cell>
          <cell r="F277" t="str">
            <v>vb</v>
          </cell>
          <cell r="G277">
            <v>3019</v>
          </cell>
          <cell r="H277">
            <v>0</v>
          </cell>
          <cell r="I277" t="str">
            <v>01.005.006.012 - Lançamento De Concreto - 12º Pavimento</v>
          </cell>
          <cell r="J277" t="str">
            <v>3 - CUSTOS DIRETOS</v>
          </cell>
          <cell r="K277" t="str">
            <v>3 - CUSTOS DIRETOS1.005.006.012</v>
          </cell>
          <cell r="L277">
            <v>3019</v>
          </cell>
          <cell r="N277">
            <v>11205.34</v>
          </cell>
          <cell r="O277">
            <v>0</v>
          </cell>
          <cell r="P277">
            <v>0</v>
          </cell>
          <cell r="Q277">
            <v>0</v>
          </cell>
          <cell r="R277">
            <v>11205.34</v>
          </cell>
          <cell r="T277">
            <v>0</v>
          </cell>
          <cell r="U277">
            <v>11205.34</v>
          </cell>
          <cell r="V277">
            <v>-8186.34</v>
          </cell>
        </row>
        <row r="278">
          <cell r="D278" t="str">
            <v>Lançamento De Concreto - 13º Pavimento</v>
          </cell>
          <cell r="E278">
            <v>60.38</v>
          </cell>
          <cell r="F278" t="str">
            <v>vb</v>
          </cell>
          <cell r="G278">
            <v>3019</v>
          </cell>
          <cell r="H278">
            <v>0</v>
          </cell>
          <cell r="I278" t="str">
            <v>01.005.006.013 - Lançamento De Concreto - 13º Pavimento</v>
          </cell>
          <cell r="J278" t="str">
            <v>3 - CUSTOS DIRETOS</v>
          </cell>
          <cell r="K278" t="str">
            <v>3 - CUSTOS DIRETOS1.005.006.013</v>
          </cell>
          <cell r="L278">
            <v>3019</v>
          </cell>
          <cell r="N278">
            <v>7960.9699999999993</v>
          </cell>
          <cell r="O278">
            <v>0</v>
          </cell>
          <cell r="P278">
            <v>0</v>
          </cell>
          <cell r="Q278">
            <v>0</v>
          </cell>
          <cell r="R278">
            <v>7960.9699999999993</v>
          </cell>
          <cell r="T278">
            <v>0</v>
          </cell>
          <cell r="U278">
            <v>7960.9699999999993</v>
          </cell>
          <cell r="V278">
            <v>-4941.9699999999993</v>
          </cell>
        </row>
        <row r="279">
          <cell r="D279" t="str">
            <v>Lançamento De Concreto - 14º Pavimento</v>
          </cell>
          <cell r="E279">
            <v>60.38</v>
          </cell>
          <cell r="F279" t="str">
            <v>vb</v>
          </cell>
          <cell r="G279">
            <v>3019</v>
          </cell>
          <cell r="H279">
            <v>0</v>
          </cell>
          <cell r="I279" t="str">
            <v>01.005.006.014 - Lançamento De Concreto - 14º Pavimento</v>
          </cell>
          <cell r="J279" t="str">
            <v>3 - CUSTOS DIRETOS</v>
          </cell>
          <cell r="K279" t="str">
            <v>3 - CUSTOS DIRETOS1.005.006.014</v>
          </cell>
          <cell r="L279">
            <v>3019</v>
          </cell>
          <cell r="N279">
            <v>10483.73</v>
          </cell>
          <cell r="O279">
            <v>0</v>
          </cell>
          <cell r="P279">
            <v>0</v>
          </cell>
          <cell r="Q279">
            <v>0</v>
          </cell>
          <cell r="R279">
            <v>10483.73</v>
          </cell>
          <cell r="T279">
            <v>0</v>
          </cell>
          <cell r="U279">
            <v>10483.73</v>
          </cell>
          <cell r="V279">
            <v>-7464.73</v>
          </cell>
        </row>
        <row r="280">
          <cell r="D280" t="str">
            <v>Lançamento De Concreto - 15º Pavimento</v>
          </cell>
          <cell r="E280">
            <v>60.38</v>
          </cell>
          <cell r="F280" t="str">
            <v>vb</v>
          </cell>
          <cell r="G280">
            <v>3019</v>
          </cell>
          <cell r="H280">
            <v>0</v>
          </cell>
          <cell r="I280" t="str">
            <v>01.005.006.015 - Lançamento De Concreto - 15º Pavimento</v>
          </cell>
          <cell r="J280" t="str">
            <v>3 - CUSTOS DIRETOS</v>
          </cell>
          <cell r="K280" t="str">
            <v>3 - CUSTOS DIRETOS1.005.006.015</v>
          </cell>
          <cell r="L280">
            <v>3019</v>
          </cell>
          <cell r="N280">
            <v>6306.18</v>
          </cell>
          <cell r="O280">
            <v>0</v>
          </cell>
          <cell r="P280">
            <v>0</v>
          </cell>
          <cell r="Q280">
            <v>0</v>
          </cell>
          <cell r="R280">
            <v>6306.18</v>
          </cell>
          <cell r="T280">
            <v>0</v>
          </cell>
          <cell r="U280">
            <v>6306.18</v>
          </cell>
          <cell r="V280">
            <v>-3287.1800000000003</v>
          </cell>
        </row>
        <row r="281">
          <cell r="D281" t="str">
            <v>Lançamento De Concreto - Cobertura</v>
          </cell>
          <cell r="E281">
            <v>101.98</v>
          </cell>
          <cell r="F281" t="str">
            <v>vb</v>
          </cell>
          <cell r="G281">
            <v>5099</v>
          </cell>
          <cell r="H281">
            <v>0</v>
          </cell>
          <cell r="I281" t="str">
            <v>01.005.006.016 - Lançamento De Concreto - Cobertura</v>
          </cell>
          <cell r="J281" t="str">
            <v>3 - CUSTOS DIRETOS</v>
          </cell>
          <cell r="K281" t="str">
            <v>3 - CUSTOS DIRETOS1.005.006.016</v>
          </cell>
          <cell r="L281">
            <v>5099</v>
          </cell>
          <cell r="N281">
            <v>22558.400000000001</v>
          </cell>
          <cell r="O281">
            <v>0</v>
          </cell>
          <cell r="P281">
            <v>0</v>
          </cell>
          <cell r="Q281">
            <v>0</v>
          </cell>
          <cell r="R281">
            <v>22558.400000000001</v>
          </cell>
          <cell r="T281">
            <v>0</v>
          </cell>
          <cell r="U281">
            <v>22558.400000000001</v>
          </cell>
          <cell r="V281">
            <v>-17459.400000000001</v>
          </cell>
        </row>
        <row r="282">
          <cell r="D282" t="str">
            <v>CONTROLE TECNOLÓGICO DE CONCRETO</v>
          </cell>
          <cell r="I282" t="str">
            <v>01.005.007 - CONTROLE TECNOLÓGICO DE CONCRETO</v>
          </cell>
          <cell r="J282" t="str">
            <v>3 - CUSTOS DIRETOS</v>
          </cell>
          <cell r="K282" t="str">
            <v>3 - CUSTOS DIRETOS1.005.007</v>
          </cell>
          <cell r="L282">
            <v>23500</v>
          </cell>
          <cell r="N282">
            <v>24305.669999999995</v>
          </cell>
          <cell r="O282">
            <v>0</v>
          </cell>
          <cell r="P282">
            <v>2118.87</v>
          </cell>
          <cell r="Q282">
            <v>0</v>
          </cell>
          <cell r="R282">
            <v>26424.539999999994</v>
          </cell>
          <cell r="T282">
            <v>0</v>
          </cell>
          <cell r="U282">
            <v>26424.539999999994</v>
          </cell>
          <cell r="V282">
            <v>-2924.5399999999936</v>
          </cell>
        </row>
        <row r="283">
          <cell r="D283" t="str">
            <v>Controle Tecnológico De Concreto - Res. Inf Ao Pil</v>
          </cell>
          <cell r="E283">
            <v>359</v>
          </cell>
          <cell r="F283" t="str">
            <v>vb</v>
          </cell>
          <cell r="G283">
            <v>7180</v>
          </cell>
          <cell r="H283">
            <v>0</v>
          </cell>
          <cell r="I283" t="str">
            <v>01.005.007.001 - Controle Tecnológico De Concreto - Res. Inf Ao Pil</v>
          </cell>
          <cell r="J283" t="str">
            <v>3 - CUSTOS DIRETOS</v>
          </cell>
          <cell r="K283" t="str">
            <v>3 - CUSTOS DIRETOS1.005.007.001</v>
          </cell>
          <cell r="L283">
            <v>7180</v>
          </cell>
          <cell r="N283">
            <v>13443.519999999999</v>
          </cell>
          <cell r="O283">
            <v>0</v>
          </cell>
          <cell r="P283">
            <v>0</v>
          </cell>
          <cell r="Q283">
            <v>0</v>
          </cell>
          <cell r="R283">
            <v>13443.519999999999</v>
          </cell>
          <cell r="T283">
            <v>0</v>
          </cell>
          <cell r="U283">
            <v>13443.519999999999</v>
          </cell>
          <cell r="V283">
            <v>-6263.5199999999986</v>
          </cell>
        </row>
        <row r="284">
          <cell r="D284" t="str">
            <v>Controle Tecnológico De Concreto - 2º Pavimento</v>
          </cell>
          <cell r="E284">
            <v>52</v>
          </cell>
          <cell r="F284" t="str">
            <v>vb</v>
          </cell>
          <cell r="G284">
            <v>1040</v>
          </cell>
          <cell r="H284">
            <v>0</v>
          </cell>
          <cell r="I284" t="str">
            <v>01.005.007.002 - Controle Tecnológico De Concreto - 2º Pavimento</v>
          </cell>
          <cell r="J284" t="str">
            <v>3 - CUSTOS DIRETOS</v>
          </cell>
          <cell r="K284" t="str">
            <v>3 - CUSTOS DIRETOS1.005.007.002</v>
          </cell>
          <cell r="L284">
            <v>1040</v>
          </cell>
          <cell r="N284">
            <v>750.8</v>
          </cell>
          <cell r="O284">
            <v>0</v>
          </cell>
          <cell r="P284">
            <v>0</v>
          </cell>
          <cell r="Q284">
            <v>0</v>
          </cell>
          <cell r="R284">
            <v>750.8</v>
          </cell>
          <cell r="T284">
            <v>0</v>
          </cell>
          <cell r="U284">
            <v>750.8</v>
          </cell>
          <cell r="V284">
            <v>289.20000000000005</v>
          </cell>
        </row>
        <row r="285">
          <cell r="D285" t="str">
            <v>Controle Tecnológico De Concreto - 3º Pavimento</v>
          </cell>
          <cell r="E285">
            <v>52</v>
          </cell>
          <cell r="F285" t="str">
            <v>vb</v>
          </cell>
          <cell r="G285">
            <v>1040</v>
          </cell>
          <cell r="H285">
            <v>0</v>
          </cell>
          <cell r="I285" t="str">
            <v>01.005.007.003 - Controle Tecnológico De Concreto - 3º Pavimento</v>
          </cell>
          <cell r="J285" t="str">
            <v>3 - CUSTOS DIRETOS</v>
          </cell>
          <cell r="K285" t="str">
            <v>3 - CUSTOS DIRETOS1.005.007.003</v>
          </cell>
          <cell r="L285">
            <v>1040</v>
          </cell>
          <cell r="N285">
            <v>475.9</v>
          </cell>
          <cell r="O285">
            <v>0</v>
          </cell>
          <cell r="P285">
            <v>305.56</v>
          </cell>
          <cell r="Q285">
            <v>0</v>
          </cell>
          <cell r="R285">
            <v>781.46</v>
          </cell>
          <cell r="T285">
            <v>0</v>
          </cell>
          <cell r="U285">
            <v>781.46</v>
          </cell>
          <cell r="V285">
            <v>258.53999999999996</v>
          </cell>
        </row>
        <row r="286">
          <cell r="D286" t="str">
            <v>Controle Tecnológico De Concreto - 4º Pavimento</v>
          </cell>
          <cell r="E286">
            <v>52</v>
          </cell>
          <cell r="F286" t="str">
            <v>vb</v>
          </cell>
          <cell r="G286">
            <v>1040</v>
          </cell>
          <cell r="H286">
            <v>0</v>
          </cell>
          <cell r="I286" t="str">
            <v>01.005.007.004 - Controle Tecnológico De Concreto - 4º Pavimento</v>
          </cell>
          <cell r="J286" t="str">
            <v>3 - CUSTOS DIRETOS</v>
          </cell>
          <cell r="K286" t="str">
            <v>3 - CUSTOS DIRETOS1.005.007.004</v>
          </cell>
          <cell r="L286">
            <v>1040</v>
          </cell>
          <cell r="N286">
            <v>412</v>
          </cell>
          <cell r="O286">
            <v>0</v>
          </cell>
          <cell r="P286">
            <v>361.05</v>
          </cell>
          <cell r="Q286">
            <v>0</v>
          </cell>
          <cell r="R286">
            <v>773.05</v>
          </cell>
          <cell r="T286">
            <v>0</v>
          </cell>
          <cell r="U286">
            <v>773.05</v>
          </cell>
          <cell r="V286">
            <v>266.95000000000005</v>
          </cell>
        </row>
        <row r="287">
          <cell r="D287" t="str">
            <v>Controle Tecnológico De Concreto - 5º Pavimento</v>
          </cell>
          <cell r="E287">
            <v>52</v>
          </cell>
          <cell r="F287" t="str">
            <v>vb</v>
          </cell>
          <cell r="G287">
            <v>1040</v>
          </cell>
          <cell r="H287">
            <v>0</v>
          </cell>
          <cell r="I287" t="str">
            <v>01.005.007.005 - Controle Tecnológico De Concreto - 5º Pavimento</v>
          </cell>
          <cell r="J287" t="str">
            <v>3 - CUSTOS DIRETOS</v>
          </cell>
          <cell r="K287" t="str">
            <v>3 - CUSTOS DIRETOS1.005.007.005</v>
          </cell>
          <cell r="L287">
            <v>1040</v>
          </cell>
          <cell r="N287">
            <v>750.8</v>
          </cell>
          <cell r="O287">
            <v>0</v>
          </cell>
          <cell r="P287">
            <v>0</v>
          </cell>
          <cell r="Q287">
            <v>0</v>
          </cell>
          <cell r="R287">
            <v>750.8</v>
          </cell>
          <cell r="T287">
            <v>0</v>
          </cell>
          <cell r="U287">
            <v>750.8</v>
          </cell>
          <cell r="V287">
            <v>289.20000000000005</v>
          </cell>
        </row>
        <row r="288">
          <cell r="D288" t="str">
            <v>Controle Tecnológico De Concreto - 6º Pavimento</v>
          </cell>
          <cell r="E288">
            <v>52</v>
          </cell>
          <cell r="F288" t="str">
            <v>vb</v>
          </cell>
          <cell r="G288">
            <v>1040</v>
          </cell>
          <cell r="H288">
            <v>0</v>
          </cell>
          <cell r="I288" t="str">
            <v>01.005.007.006 - Controle Tecnológico De Concreto - 6º Pavimento</v>
          </cell>
          <cell r="J288" t="str">
            <v>3 - CUSTOS DIRETOS</v>
          </cell>
          <cell r="K288" t="str">
            <v>3 - CUSTOS DIRETOS1.005.007.006</v>
          </cell>
          <cell r="L288">
            <v>1040</v>
          </cell>
          <cell r="N288">
            <v>750.8</v>
          </cell>
          <cell r="O288">
            <v>0</v>
          </cell>
          <cell r="P288">
            <v>0</v>
          </cell>
          <cell r="Q288">
            <v>0</v>
          </cell>
          <cell r="R288">
            <v>750.8</v>
          </cell>
          <cell r="T288">
            <v>0</v>
          </cell>
          <cell r="U288">
            <v>750.8</v>
          </cell>
          <cell r="V288">
            <v>289.20000000000005</v>
          </cell>
        </row>
        <row r="289">
          <cell r="D289" t="str">
            <v>Controle Tecnológico De Concreto - 7º Pavimento</v>
          </cell>
          <cell r="E289">
            <v>52</v>
          </cell>
          <cell r="F289" t="str">
            <v>vb</v>
          </cell>
          <cell r="G289">
            <v>1040</v>
          </cell>
          <cell r="H289">
            <v>0</v>
          </cell>
          <cell r="I289" t="str">
            <v>01.005.007.007 - Controle Tecnológico De Concreto - 7º Pavimento</v>
          </cell>
          <cell r="J289" t="str">
            <v>3 - CUSTOS DIRETOS</v>
          </cell>
          <cell r="K289" t="str">
            <v>3 - CUSTOS DIRETOS1.005.007.007</v>
          </cell>
          <cell r="L289">
            <v>1040</v>
          </cell>
          <cell r="N289">
            <v>1473.38</v>
          </cell>
          <cell r="O289">
            <v>0</v>
          </cell>
          <cell r="P289">
            <v>30.009999999999998</v>
          </cell>
          <cell r="Q289">
            <v>0</v>
          </cell>
          <cell r="R289">
            <v>1503.39</v>
          </cell>
          <cell r="T289">
            <v>0</v>
          </cell>
          <cell r="U289">
            <v>1503.39</v>
          </cell>
          <cell r="V289">
            <v>-463.3900000000001</v>
          </cell>
        </row>
        <row r="290">
          <cell r="D290" t="str">
            <v>Controle Tecnológico De Concreto - 8º Pavimento</v>
          </cell>
          <cell r="E290">
            <v>52</v>
          </cell>
          <cell r="F290" t="str">
            <v>vb</v>
          </cell>
          <cell r="G290">
            <v>1040</v>
          </cell>
          <cell r="H290">
            <v>0</v>
          </cell>
          <cell r="I290" t="str">
            <v>01.005.007.008 - Controle Tecnológico De Concreto - 8º Pavimento</v>
          </cell>
          <cell r="J290" t="str">
            <v>3 - CUSTOS DIRETOS</v>
          </cell>
          <cell r="K290" t="str">
            <v>3 - CUSTOS DIRETOS1.005.007.008</v>
          </cell>
          <cell r="L290">
            <v>1040</v>
          </cell>
          <cell r="N290">
            <v>750.74</v>
          </cell>
          <cell r="O290">
            <v>0</v>
          </cell>
          <cell r="P290">
            <v>800.15000000000009</v>
          </cell>
          <cell r="Q290">
            <v>0</v>
          </cell>
          <cell r="R290">
            <v>1550.89</v>
          </cell>
          <cell r="T290">
            <v>0</v>
          </cell>
          <cell r="U290">
            <v>1550.89</v>
          </cell>
          <cell r="V290">
            <v>-510.8900000000001</v>
          </cell>
        </row>
        <row r="291">
          <cell r="D291" t="str">
            <v>Controle Tecnológico De Concreto - 9º Pavimento</v>
          </cell>
          <cell r="E291">
            <v>52</v>
          </cell>
          <cell r="F291" t="str">
            <v>vb</v>
          </cell>
          <cell r="G291">
            <v>1040</v>
          </cell>
          <cell r="H291">
            <v>0</v>
          </cell>
          <cell r="I291" t="str">
            <v>01.005.007.009 - Controle Tecnológico De Concreto - 9º Pavimento</v>
          </cell>
          <cell r="J291" t="str">
            <v>3 - CUSTOS DIRETOS</v>
          </cell>
          <cell r="K291" t="str">
            <v>3 - CUSTOS DIRETOS1.005.007.009</v>
          </cell>
          <cell r="L291">
            <v>1040</v>
          </cell>
          <cell r="N291">
            <v>750.8</v>
          </cell>
          <cell r="O291">
            <v>0</v>
          </cell>
          <cell r="P291">
            <v>0</v>
          </cell>
          <cell r="Q291">
            <v>0</v>
          </cell>
          <cell r="R291">
            <v>750.8</v>
          </cell>
          <cell r="T291">
            <v>0</v>
          </cell>
          <cell r="U291">
            <v>750.8</v>
          </cell>
          <cell r="V291">
            <v>289.20000000000005</v>
          </cell>
        </row>
        <row r="292">
          <cell r="D292" t="str">
            <v>Controle Tecnológico De Concreto - 10º Pavimento</v>
          </cell>
          <cell r="E292">
            <v>52</v>
          </cell>
          <cell r="F292" t="str">
            <v>vb</v>
          </cell>
          <cell r="G292">
            <v>1040</v>
          </cell>
          <cell r="H292">
            <v>0</v>
          </cell>
          <cell r="I292" t="str">
            <v>01.005.007.010 - Controle Tecnológico De Concreto - 10º Pavimento</v>
          </cell>
          <cell r="J292" t="str">
            <v>3 - CUSTOS DIRETOS</v>
          </cell>
          <cell r="K292" t="str">
            <v>3 - CUSTOS DIRETOS1.005.007.010</v>
          </cell>
          <cell r="L292">
            <v>1040</v>
          </cell>
          <cell r="N292">
            <v>750.8</v>
          </cell>
          <cell r="O292">
            <v>0</v>
          </cell>
          <cell r="P292">
            <v>0</v>
          </cell>
          <cell r="Q292">
            <v>0</v>
          </cell>
          <cell r="R292">
            <v>750.8</v>
          </cell>
          <cell r="T292">
            <v>0</v>
          </cell>
          <cell r="U292">
            <v>750.8</v>
          </cell>
          <cell r="V292">
            <v>289.20000000000005</v>
          </cell>
        </row>
        <row r="293">
          <cell r="D293" t="str">
            <v>Controle Tecnológico De Concreto - 11º Pavimento</v>
          </cell>
          <cell r="E293">
            <v>52</v>
          </cell>
          <cell r="F293" t="str">
            <v>vb</v>
          </cell>
          <cell r="G293">
            <v>1040</v>
          </cell>
          <cell r="H293">
            <v>0</v>
          </cell>
          <cell r="I293" t="str">
            <v>01.005.007.011 - Controle Tecnológico De Concreto - 11º Pavimento</v>
          </cell>
          <cell r="J293" t="str">
            <v>3 - CUSTOS DIRETOS</v>
          </cell>
          <cell r="K293" t="str">
            <v>3 - CUSTOS DIRETOS1.005.007.011</v>
          </cell>
          <cell r="L293">
            <v>1040</v>
          </cell>
          <cell r="N293">
            <v>750.8</v>
          </cell>
          <cell r="O293">
            <v>0</v>
          </cell>
          <cell r="P293">
            <v>0</v>
          </cell>
          <cell r="Q293">
            <v>0</v>
          </cell>
          <cell r="R293">
            <v>750.8</v>
          </cell>
          <cell r="T293">
            <v>0</v>
          </cell>
          <cell r="U293">
            <v>750.8</v>
          </cell>
          <cell r="V293">
            <v>289.20000000000005</v>
          </cell>
        </row>
        <row r="294">
          <cell r="D294" t="str">
            <v>Controle Tecnológico De Concreto - 12º Pavimento</v>
          </cell>
          <cell r="E294">
            <v>52</v>
          </cell>
          <cell r="F294" t="str">
            <v>vb</v>
          </cell>
          <cell r="G294">
            <v>1040</v>
          </cell>
          <cell r="H294">
            <v>0</v>
          </cell>
          <cell r="I294" t="str">
            <v>01.005.007.012 - Controle Tecnológico De Concreto - 12º Pavimento</v>
          </cell>
          <cell r="J294" t="str">
            <v>3 - CUSTOS DIRETOS</v>
          </cell>
          <cell r="K294" t="str">
            <v>3 - CUSTOS DIRETOS1.005.007.012</v>
          </cell>
          <cell r="L294">
            <v>1040</v>
          </cell>
          <cell r="N294">
            <v>636.29999999999995</v>
          </cell>
          <cell r="O294">
            <v>0</v>
          </cell>
          <cell r="P294">
            <v>122.02</v>
          </cell>
          <cell r="Q294">
            <v>0</v>
          </cell>
          <cell r="R294">
            <v>758.31999999999994</v>
          </cell>
          <cell r="T294">
            <v>0</v>
          </cell>
          <cell r="U294">
            <v>758.31999999999994</v>
          </cell>
          <cell r="V294">
            <v>281.68000000000006</v>
          </cell>
        </row>
        <row r="295">
          <cell r="D295" t="str">
            <v>Controle Tecnológico De Concreto - 13º Pavimento</v>
          </cell>
          <cell r="E295">
            <v>52</v>
          </cell>
          <cell r="F295" t="str">
            <v>vb</v>
          </cell>
          <cell r="G295">
            <v>1040</v>
          </cell>
          <cell r="H295">
            <v>0</v>
          </cell>
          <cell r="I295" t="str">
            <v>01.005.007.013 - Controle Tecnológico De Concreto - 13º Pavimento</v>
          </cell>
          <cell r="J295" t="str">
            <v>3 - CUSTOS DIRETOS</v>
          </cell>
          <cell r="K295" t="str">
            <v>3 - CUSTOS DIRETOS1.005.007.013</v>
          </cell>
          <cell r="L295">
            <v>1040</v>
          </cell>
          <cell r="N295">
            <v>750.8</v>
          </cell>
          <cell r="O295">
            <v>0</v>
          </cell>
          <cell r="P295">
            <v>0</v>
          </cell>
          <cell r="Q295">
            <v>0</v>
          </cell>
          <cell r="R295">
            <v>750.8</v>
          </cell>
          <cell r="T295">
            <v>0</v>
          </cell>
          <cell r="U295">
            <v>750.8</v>
          </cell>
          <cell r="V295">
            <v>289.20000000000005</v>
          </cell>
        </row>
        <row r="296">
          <cell r="D296" t="str">
            <v>Controle Tecnológico De Concreto - 14º Pavimento</v>
          </cell>
          <cell r="E296">
            <v>52</v>
          </cell>
          <cell r="F296" t="str">
            <v>vb</v>
          </cell>
          <cell r="G296">
            <v>1040</v>
          </cell>
          <cell r="H296">
            <v>0</v>
          </cell>
          <cell r="I296" t="str">
            <v>01.005.007.014 - Controle Tecnológico De Concreto - 14º Pavimento</v>
          </cell>
          <cell r="J296" t="str">
            <v>3 - CUSTOS DIRETOS</v>
          </cell>
          <cell r="K296" t="str">
            <v>3 - CUSTOS DIRETOS1.005.007.014</v>
          </cell>
          <cell r="L296">
            <v>1040</v>
          </cell>
          <cell r="N296">
            <v>750.8</v>
          </cell>
          <cell r="O296">
            <v>0</v>
          </cell>
          <cell r="P296">
            <v>0</v>
          </cell>
          <cell r="Q296">
            <v>0</v>
          </cell>
          <cell r="R296">
            <v>750.8</v>
          </cell>
          <cell r="T296">
            <v>0</v>
          </cell>
          <cell r="U296">
            <v>750.8</v>
          </cell>
          <cell r="V296">
            <v>289.20000000000005</v>
          </cell>
        </row>
        <row r="297">
          <cell r="D297" t="str">
            <v>Controle Tecnológico De Concreto - 15º Pavimento</v>
          </cell>
          <cell r="E297">
            <v>52</v>
          </cell>
          <cell r="F297" t="str">
            <v>vb</v>
          </cell>
          <cell r="G297">
            <v>1040</v>
          </cell>
          <cell r="H297">
            <v>0</v>
          </cell>
          <cell r="I297" t="str">
            <v>01.005.007.015 - Controle Tecnológico De Concreto - 15º Pavimento</v>
          </cell>
          <cell r="J297" t="str">
            <v>3 - CUSTOS DIRETOS</v>
          </cell>
          <cell r="K297" t="str">
            <v>3 - CUSTOS DIRETOS1.005.007.015</v>
          </cell>
          <cell r="L297">
            <v>1040</v>
          </cell>
          <cell r="N297">
            <v>750.8</v>
          </cell>
          <cell r="O297">
            <v>0</v>
          </cell>
          <cell r="P297">
            <v>0</v>
          </cell>
          <cell r="Q297">
            <v>0</v>
          </cell>
          <cell r="R297">
            <v>750.8</v>
          </cell>
          <cell r="T297">
            <v>0</v>
          </cell>
          <cell r="U297">
            <v>750.8</v>
          </cell>
          <cell r="V297">
            <v>289.20000000000005</v>
          </cell>
        </row>
        <row r="298">
          <cell r="D298" t="str">
            <v>Controle Tecnológico De Concreto - Cobertura</v>
          </cell>
          <cell r="E298">
            <v>88</v>
          </cell>
          <cell r="F298" t="str">
            <v>vb</v>
          </cell>
          <cell r="G298">
            <v>1760</v>
          </cell>
          <cell r="H298">
            <v>0</v>
          </cell>
          <cell r="I298" t="str">
            <v>01.005.007.016 - Controle Tecnológico De Concreto - Cobertura</v>
          </cell>
          <cell r="J298" t="str">
            <v>3 - CUSTOS DIRETOS</v>
          </cell>
          <cell r="K298" t="str">
            <v>3 - CUSTOS DIRETOS1.005.007.016</v>
          </cell>
          <cell r="L298">
            <v>1760</v>
          </cell>
          <cell r="N298">
            <v>356.63</v>
          </cell>
          <cell r="O298">
            <v>0</v>
          </cell>
          <cell r="P298">
            <v>500.08000000000004</v>
          </cell>
          <cell r="Q298">
            <v>0</v>
          </cell>
          <cell r="R298">
            <v>856.71</v>
          </cell>
          <cell r="T298">
            <v>0</v>
          </cell>
          <cell r="U298">
            <v>856.71</v>
          </cell>
          <cell r="V298">
            <v>903.29</v>
          </cell>
        </row>
        <row r="299">
          <cell r="D299" t="str">
            <v>ALVENARIA ESTRUTURAL</v>
          </cell>
          <cell r="I299" t="str">
            <v>01.005.008 - ALVENARIA ESTRUTURAL</v>
          </cell>
          <cell r="J299" t="str">
            <v>3 - CUSTOS DIRETOS</v>
          </cell>
          <cell r="K299" t="str">
            <v>3 - CUSTOS DIRETOS1.005.008</v>
          </cell>
          <cell r="L299">
            <v>1069012.3299999998</v>
          </cell>
          <cell r="N299">
            <v>1376606.2200000002</v>
          </cell>
          <cell r="O299">
            <v>0</v>
          </cell>
          <cell r="P299">
            <v>0</v>
          </cell>
          <cell r="Q299">
            <v>0</v>
          </cell>
          <cell r="R299">
            <v>1376606.2200000002</v>
          </cell>
          <cell r="T299">
            <v>0</v>
          </cell>
          <cell r="U299">
            <v>1376606.2200000002</v>
          </cell>
          <cell r="V299">
            <v>-307593.89000000036</v>
          </cell>
        </row>
        <row r="300">
          <cell r="D300" t="str">
            <v>Alvenaria Estrutural - 16 Mpa - 1º Pavimento</v>
          </cell>
          <cell r="E300">
            <v>564.67999999999995</v>
          </cell>
          <cell r="F300" t="str">
            <v>vb</v>
          </cell>
          <cell r="G300">
            <v>84611.65</v>
          </cell>
          <cell r="H300">
            <v>0</v>
          </cell>
          <cell r="I300" t="str">
            <v>01.005.008.001 - Alvenaria Estrutural - 16 Mpa - 1º Pavimento</v>
          </cell>
          <cell r="J300" t="str">
            <v>3 - CUSTOS DIRETOS</v>
          </cell>
          <cell r="K300" t="str">
            <v>3 - CUSTOS DIRETOS1.005.008.001</v>
          </cell>
          <cell r="L300">
            <v>84611.65</v>
          </cell>
          <cell r="N300">
            <v>123469.12</v>
          </cell>
          <cell r="O300">
            <v>0</v>
          </cell>
          <cell r="P300">
            <v>0</v>
          </cell>
          <cell r="Q300">
            <v>0</v>
          </cell>
          <cell r="R300">
            <v>123469.12</v>
          </cell>
          <cell r="T300">
            <v>0</v>
          </cell>
          <cell r="U300">
            <v>123469.12</v>
          </cell>
          <cell r="V300">
            <v>-38857.47</v>
          </cell>
        </row>
        <row r="301">
          <cell r="D301" t="str">
            <v>Alvenaria Estrutural - 16 Mpa - 2º Pavimento</v>
          </cell>
          <cell r="E301">
            <v>564.70000000000005</v>
          </cell>
          <cell r="F301" t="str">
            <v>vb</v>
          </cell>
          <cell r="G301">
            <v>84614.65</v>
          </cell>
          <cell r="H301">
            <v>0</v>
          </cell>
          <cell r="I301" t="str">
            <v>01.005.008.002 - Alvenaria Estrutural - 16 Mpa - 2º Pavimento</v>
          </cell>
          <cell r="J301" t="str">
            <v>3 - CUSTOS DIRETOS</v>
          </cell>
          <cell r="K301" t="str">
            <v>3 - CUSTOS DIRETOS1.005.008.002</v>
          </cell>
          <cell r="L301">
            <v>84614.65</v>
          </cell>
          <cell r="N301">
            <v>108491.64999999997</v>
          </cell>
          <cell r="O301">
            <v>0</v>
          </cell>
          <cell r="P301">
            <v>0</v>
          </cell>
          <cell r="Q301">
            <v>0</v>
          </cell>
          <cell r="R301">
            <v>108491.64999999997</v>
          </cell>
          <cell r="T301">
            <v>0</v>
          </cell>
          <cell r="U301">
            <v>108491.64999999997</v>
          </cell>
          <cell r="V301">
            <v>-23876.999999999971</v>
          </cell>
        </row>
        <row r="302">
          <cell r="D302" t="str">
            <v>Alvenaria Estrutural - 14 Mpa - 3º Pavimento</v>
          </cell>
          <cell r="E302">
            <v>564.70000000000005</v>
          </cell>
          <cell r="F302" t="str">
            <v>vb</v>
          </cell>
          <cell r="G302">
            <v>84614.65</v>
          </cell>
          <cell r="H302">
            <v>0</v>
          </cell>
          <cell r="I302" t="str">
            <v>01.005.008.003 - Alvenaria Estrutural - 14 Mpa - 3º Pavimento</v>
          </cell>
          <cell r="J302" t="str">
            <v>3 - CUSTOS DIRETOS</v>
          </cell>
          <cell r="K302" t="str">
            <v>3 - CUSTOS DIRETOS1.005.008.003</v>
          </cell>
          <cell r="L302">
            <v>84614.65</v>
          </cell>
          <cell r="N302">
            <v>94798.060000000056</v>
          </cell>
          <cell r="O302">
            <v>0</v>
          </cell>
          <cell r="P302">
            <v>0</v>
          </cell>
          <cell r="Q302">
            <v>0</v>
          </cell>
          <cell r="R302">
            <v>94798.060000000056</v>
          </cell>
          <cell r="T302">
            <v>0</v>
          </cell>
          <cell r="U302">
            <v>94798.060000000056</v>
          </cell>
          <cell r="V302">
            <v>-10183.410000000062</v>
          </cell>
        </row>
        <row r="303">
          <cell r="D303" t="str">
            <v>Alvenaria Estrutural - 14 Mpa - 4º Pavimento</v>
          </cell>
          <cell r="E303">
            <v>564.70000000000005</v>
          </cell>
          <cell r="F303" t="str">
            <v>vb</v>
          </cell>
          <cell r="G303">
            <v>84614.65</v>
          </cell>
          <cell r="H303">
            <v>0</v>
          </cell>
          <cell r="I303" t="str">
            <v>01.005.008.004 - Alvenaria Estrutural - 14 Mpa - 4º Pavimento</v>
          </cell>
          <cell r="J303" t="str">
            <v>3 - CUSTOS DIRETOS</v>
          </cell>
          <cell r="K303" t="str">
            <v>3 - CUSTOS DIRETOS1.005.008.004</v>
          </cell>
          <cell r="L303">
            <v>84614.65</v>
          </cell>
          <cell r="N303">
            <v>108088.80000000002</v>
          </cell>
          <cell r="O303">
            <v>0</v>
          </cell>
          <cell r="P303">
            <v>0</v>
          </cell>
          <cell r="Q303">
            <v>0</v>
          </cell>
          <cell r="R303">
            <v>108088.80000000002</v>
          </cell>
          <cell r="T303">
            <v>0</v>
          </cell>
          <cell r="U303">
            <v>108088.80000000002</v>
          </cell>
          <cell r="V303">
            <v>-23474.150000000023</v>
          </cell>
        </row>
        <row r="304">
          <cell r="D304" t="str">
            <v>Alvenaria Estrutural - 12 Mpa - 5º Pavimento</v>
          </cell>
          <cell r="E304">
            <v>564.70000000000005</v>
          </cell>
          <cell r="F304" t="str">
            <v>vb</v>
          </cell>
          <cell r="G304">
            <v>71683.02</v>
          </cell>
          <cell r="H304">
            <v>0</v>
          </cell>
          <cell r="I304" t="str">
            <v>01.005.008.005 - Alvenaria Estrutural - 12 Mpa - 5º Pavimento</v>
          </cell>
          <cell r="J304" t="str">
            <v>3 - CUSTOS DIRETOS</v>
          </cell>
          <cell r="K304" t="str">
            <v>3 - CUSTOS DIRETOS1.005.008.005</v>
          </cell>
          <cell r="L304">
            <v>71683.02</v>
          </cell>
          <cell r="N304">
            <v>104498.82000000007</v>
          </cell>
          <cell r="O304">
            <v>0</v>
          </cell>
          <cell r="P304">
            <v>0</v>
          </cell>
          <cell r="Q304">
            <v>0</v>
          </cell>
          <cell r="R304">
            <v>104498.82000000007</v>
          </cell>
          <cell r="T304">
            <v>0</v>
          </cell>
          <cell r="U304">
            <v>104498.82000000007</v>
          </cell>
          <cell r="V304">
            <v>-32815.800000000061</v>
          </cell>
        </row>
        <row r="305">
          <cell r="D305" t="str">
            <v>Alvenaria Estrutural - 12 Mpa - 6º Pavimento</v>
          </cell>
          <cell r="E305">
            <v>564.70000000000005</v>
          </cell>
          <cell r="F305" t="str">
            <v>vb</v>
          </cell>
          <cell r="G305">
            <v>71683.02</v>
          </cell>
          <cell r="H305">
            <v>0</v>
          </cell>
          <cell r="I305" t="str">
            <v>01.005.008.006 - Alvenaria Estrutural - 12 Mpa - 6º Pavimento</v>
          </cell>
          <cell r="J305" t="str">
            <v>3 - CUSTOS DIRETOS</v>
          </cell>
          <cell r="K305" t="str">
            <v>3 - CUSTOS DIRETOS1.005.008.006</v>
          </cell>
          <cell r="L305">
            <v>71683.02</v>
          </cell>
          <cell r="N305">
            <v>103748.49999999999</v>
          </cell>
          <cell r="O305">
            <v>0</v>
          </cell>
          <cell r="P305">
            <v>0</v>
          </cell>
          <cell r="Q305">
            <v>0</v>
          </cell>
          <cell r="R305">
            <v>103748.49999999999</v>
          </cell>
          <cell r="T305">
            <v>0</v>
          </cell>
          <cell r="U305">
            <v>103748.49999999999</v>
          </cell>
          <cell r="V305">
            <v>-32065.479999999981</v>
          </cell>
        </row>
        <row r="306">
          <cell r="D306" t="str">
            <v>Alvenaria Estrutural - 10 Mpa - 7º Pavimento</v>
          </cell>
          <cell r="E306">
            <v>564.70000000000005</v>
          </cell>
          <cell r="F306" t="str">
            <v>vb</v>
          </cell>
          <cell r="G306">
            <v>71683.02</v>
          </cell>
          <cell r="H306">
            <v>0</v>
          </cell>
          <cell r="I306" t="str">
            <v>01.005.008.007 - Alvenaria Estrutural - 10 Mpa - 7º Pavimento</v>
          </cell>
          <cell r="J306" t="str">
            <v>3 - CUSTOS DIRETOS</v>
          </cell>
          <cell r="K306" t="str">
            <v>3 - CUSTOS DIRETOS1.005.008.007</v>
          </cell>
          <cell r="L306">
            <v>71683.02</v>
          </cell>
          <cell r="N306">
            <v>101561.63999999998</v>
          </cell>
          <cell r="O306">
            <v>0</v>
          </cell>
          <cell r="P306">
            <v>0</v>
          </cell>
          <cell r="Q306">
            <v>0</v>
          </cell>
          <cell r="R306">
            <v>101561.63999999998</v>
          </cell>
          <cell r="T306">
            <v>0</v>
          </cell>
          <cell r="U306">
            <v>101561.63999999998</v>
          </cell>
          <cell r="V306">
            <v>-29878.619999999981</v>
          </cell>
        </row>
        <row r="307">
          <cell r="D307" t="str">
            <v>Alvenaria Estrutural - 10 Mpa - 8º Pavimento</v>
          </cell>
          <cell r="E307">
            <v>564.70000000000005</v>
          </cell>
          <cell r="F307" t="str">
            <v>vb</v>
          </cell>
          <cell r="G307">
            <v>71683.02</v>
          </cell>
          <cell r="H307">
            <v>0</v>
          </cell>
          <cell r="I307" t="str">
            <v>01.005.008.008 - Alvenaria Estrutural - 10 Mpa - 8º Pavimento</v>
          </cell>
          <cell r="J307" t="str">
            <v>3 - CUSTOS DIRETOS</v>
          </cell>
          <cell r="K307" t="str">
            <v>3 - CUSTOS DIRETOS1.005.008.008</v>
          </cell>
          <cell r="L307">
            <v>71683.02</v>
          </cell>
          <cell r="N307">
            <v>89918.169999999984</v>
          </cell>
          <cell r="O307">
            <v>0</v>
          </cell>
          <cell r="P307">
            <v>0</v>
          </cell>
          <cell r="Q307">
            <v>0</v>
          </cell>
          <cell r="R307">
            <v>89918.169999999984</v>
          </cell>
          <cell r="T307">
            <v>0</v>
          </cell>
          <cell r="U307">
            <v>89918.169999999984</v>
          </cell>
          <cell r="V307">
            <v>-18235.14999999998</v>
          </cell>
        </row>
        <row r="308">
          <cell r="D308" t="str">
            <v>Alvenaria Estrutural - 8 Mpa - 9º Pavimento</v>
          </cell>
          <cell r="E308">
            <v>564.70000000000005</v>
          </cell>
          <cell r="F308" t="str">
            <v>vb</v>
          </cell>
          <cell r="G308">
            <v>60552.78</v>
          </cell>
          <cell r="H308">
            <v>0</v>
          </cell>
          <cell r="I308" t="str">
            <v>01.005.008.009 - Alvenaria Estrutural - 8 Mpa - 9º Pavimento</v>
          </cell>
          <cell r="J308" t="str">
            <v>3 - CUSTOS DIRETOS</v>
          </cell>
          <cell r="K308" t="str">
            <v>3 - CUSTOS DIRETOS1.005.008.009</v>
          </cell>
          <cell r="L308">
            <v>60552.78</v>
          </cell>
          <cell r="N308">
            <v>77478.98</v>
          </cell>
          <cell r="O308">
            <v>0</v>
          </cell>
          <cell r="P308">
            <v>0</v>
          </cell>
          <cell r="Q308">
            <v>0</v>
          </cell>
          <cell r="R308">
            <v>77478.98</v>
          </cell>
          <cell r="T308">
            <v>0</v>
          </cell>
          <cell r="U308">
            <v>77478.98</v>
          </cell>
          <cell r="V308">
            <v>-16926.199999999997</v>
          </cell>
        </row>
        <row r="309">
          <cell r="D309" t="str">
            <v>Alvenaria Estrutural - 8 Mpa - 10º Pavimento</v>
          </cell>
          <cell r="E309">
            <v>564.70000000000005</v>
          </cell>
          <cell r="F309" t="str">
            <v>vb</v>
          </cell>
          <cell r="G309">
            <v>60552.78</v>
          </cell>
          <cell r="H309">
            <v>0</v>
          </cell>
          <cell r="I309" t="str">
            <v>01.005.008.010 - Alvenaria Estrutural - 8 Mpa - 10º Pavimento</v>
          </cell>
          <cell r="J309" t="str">
            <v>3 - CUSTOS DIRETOS</v>
          </cell>
          <cell r="K309" t="str">
            <v>3 - CUSTOS DIRETOS1.005.008.010</v>
          </cell>
          <cell r="L309">
            <v>60552.78</v>
          </cell>
          <cell r="N309">
            <v>77534.680000000008</v>
          </cell>
          <cell r="O309">
            <v>0</v>
          </cell>
          <cell r="P309">
            <v>0</v>
          </cell>
          <cell r="Q309">
            <v>0</v>
          </cell>
          <cell r="R309">
            <v>77534.680000000008</v>
          </cell>
          <cell r="T309">
            <v>0</v>
          </cell>
          <cell r="U309">
            <v>77534.680000000008</v>
          </cell>
          <cell r="V309">
            <v>-16981.900000000009</v>
          </cell>
        </row>
        <row r="310">
          <cell r="D310" t="str">
            <v>Alvenaria Estrutural - 6 Mpa - 11º Pavimento</v>
          </cell>
          <cell r="E310">
            <v>564.70000000000005</v>
          </cell>
          <cell r="F310" t="str">
            <v>vb</v>
          </cell>
          <cell r="G310">
            <v>58926.45</v>
          </cell>
          <cell r="H310">
            <v>0</v>
          </cell>
          <cell r="I310" t="str">
            <v>01.005.008.011 - Alvenaria Estrutural - 6 Mpa - 11º Pavimento</v>
          </cell>
          <cell r="J310" t="str">
            <v>3 - CUSTOS DIRETOS</v>
          </cell>
          <cell r="K310" t="str">
            <v>3 - CUSTOS DIRETOS1.005.008.011</v>
          </cell>
          <cell r="L310">
            <v>58926.45</v>
          </cell>
          <cell r="N310">
            <v>72643.719999999987</v>
          </cell>
          <cell r="O310">
            <v>0</v>
          </cell>
          <cell r="P310">
            <v>0</v>
          </cell>
          <cell r="Q310">
            <v>0</v>
          </cell>
          <cell r="R310">
            <v>72643.719999999987</v>
          </cell>
          <cell r="T310">
            <v>0</v>
          </cell>
          <cell r="U310">
            <v>72643.719999999987</v>
          </cell>
          <cell r="V310">
            <v>-13717.26999999999</v>
          </cell>
        </row>
        <row r="311">
          <cell r="D311" t="str">
            <v>Alvenaria Estrutural - 6 Mpa - 12º Pavimento</v>
          </cell>
          <cell r="E311">
            <v>564.70000000000005</v>
          </cell>
          <cell r="F311" t="str">
            <v>vb</v>
          </cell>
          <cell r="G311">
            <v>58926.45</v>
          </cell>
          <cell r="H311">
            <v>0</v>
          </cell>
          <cell r="I311" t="str">
            <v>01.005.008.012 - Alvenaria Estrutural - 6 Mpa - 12º Pavimento</v>
          </cell>
          <cell r="J311" t="str">
            <v>3 - CUSTOS DIRETOS</v>
          </cell>
          <cell r="K311" t="str">
            <v>3 - CUSTOS DIRETOS1.005.008.012</v>
          </cell>
          <cell r="L311">
            <v>58926.45</v>
          </cell>
          <cell r="N311">
            <v>77086.320000000007</v>
          </cell>
          <cell r="O311">
            <v>0</v>
          </cell>
          <cell r="P311">
            <v>0</v>
          </cell>
          <cell r="Q311">
            <v>0</v>
          </cell>
          <cell r="R311">
            <v>77086.320000000007</v>
          </cell>
          <cell r="T311">
            <v>0</v>
          </cell>
          <cell r="U311">
            <v>77086.320000000007</v>
          </cell>
          <cell r="V311">
            <v>-18159.87000000001</v>
          </cell>
        </row>
        <row r="312">
          <cell r="D312" t="str">
            <v>Alvenaria Estrutural - 4 Mpa - 13º Pavimento</v>
          </cell>
          <cell r="E312">
            <v>564.70000000000005</v>
          </cell>
          <cell r="F312" t="str">
            <v>vb</v>
          </cell>
          <cell r="G312">
            <v>58926.45</v>
          </cell>
          <cell r="H312">
            <v>0</v>
          </cell>
          <cell r="I312" t="str">
            <v>01.005.008.013 - Alvenaria Estrutural - 4 Mpa - 13º Pavimento</v>
          </cell>
          <cell r="J312" t="str">
            <v>3 - CUSTOS DIRETOS</v>
          </cell>
          <cell r="K312" t="str">
            <v>3 - CUSTOS DIRETOS1.005.008.013</v>
          </cell>
          <cell r="L312">
            <v>58926.45</v>
          </cell>
          <cell r="N312">
            <v>62393.090000000018</v>
          </cell>
          <cell r="O312">
            <v>0</v>
          </cell>
          <cell r="P312">
            <v>0</v>
          </cell>
          <cell r="Q312">
            <v>0</v>
          </cell>
          <cell r="R312">
            <v>62393.090000000018</v>
          </cell>
          <cell r="T312">
            <v>0</v>
          </cell>
          <cell r="U312">
            <v>62393.090000000018</v>
          </cell>
          <cell r="V312">
            <v>-3466.6400000000212</v>
          </cell>
        </row>
        <row r="313">
          <cell r="D313" t="str">
            <v>Alvenaria Estrutural - 4 Mpa - 14º Pavimento</v>
          </cell>
          <cell r="E313">
            <v>564.70000000000005</v>
          </cell>
          <cell r="F313" t="str">
            <v>vb</v>
          </cell>
          <cell r="G313">
            <v>58926.45</v>
          </cell>
          <cell r="H313">
            <v>0</v>
          </cell>
          <cell r="I313" t="str">
            <v>01.005.008.014 - Alvenaria Estrutural - 4 Mpa - 14º Pavimento</v>
          </cell>
          <cell r="J313" t="str">
            <v>3 - CUSTOS DIRETOS</v>
          </cell>
          <cell r="K313" t="str">
            <v>3 - CUSTOS DIRETOS1.005.008.014</v>
          </cell>
          <cell r="L313">
            <v>58926.45</v>
          </cell>
          <cell r="N313">
            <v>80276.239999999962</v>
          </cell>
          <cell r="O313">
            <v>0</v>
          </cell>
          <cell r="P313">
            <v>0</v>
          </cell>
          <cell r="Q313">
            <v>0</v>
          </cell>
          <cell r="R313">
            <v>80276.239999999962</v>
          </cell>
          <cell r="T313">
            <v>0</v>
          </cell>
          <cell r="U313">
            <v>80276.239999999962</v>
          </cell>
          <cell r="V313">
            <v>-21349.789999999964</v>
          </cell>
        </row>
        <row r="314">
          <cell r="D314" t="str">
            <v>Alvenaria Estrutural - 4 Mpa - 15º Pavimento</v>
          </cell>
          <cell r="E314">
            <v>550.19000000000005</v>
          </cell>
          <cell r="F314" t="str">
            <v>vb</v>
          </cell>
          <cell r="G314">
            <v>57412.33</v>
          </cell>
          <cell r="H314">
            <v>0</v>
          </cell>
          <cell r="I314" t="str">
            <v>01.005.008.015 - Alvenaria Estrutural - 4 Mpa - 15º Pavimento</v>
          </cell>
          <cell r="J314" t="str">
            <v>3 - CUSTOS DIRETOS</v>
          </cell>
          <cell r="K314" t="str">
            <v>3 - CUSTOS DIRETOS1.005.008.015</v>
          </cell>
          <cell r="L314">
            <v>57412.33</v>
          </cell>
          <cell r="N314">
            <v>48052.250000000015</v>
          </cell>
          <cell r="O314">
            <v>0</v>
          </cell>
          <cell r="P314">
            <v>0</v>
          </cell>
          <cell r="Q314">
            <v>0</v>
          </cell>
          <cell r="R314">
            <v>48052.250000000015</v>
          </cell>
          <cell r="T314">
            <v>0</v>
          </cell>
          <cell r="U314">
            <v>48052.250000000015</v>
          </cell>
          <cell r="V314">
            <v>9360.0799999999872</v>
          </cell>
        </row>
        <row r="315">
          <cell r="D315" t="str">
            <v>Alvenaria Estrutural - 4 Mpa - Cobertura</v>
          </cell>
          <cell r="E315">
            <v>283.67</v>
          </cell>
          <cell r="F315" t="str">
            <v>vb</v>
          </cell>
          <cell r="G315">
            <v>29600.959999999999</v>
          </cell>
          <cell r="H315">
            <v>0</v>
          </cell>
          <cell r="I315" t="str">
            <v>01.005.008.016 - Alvenaria Estrutural - 4 Mpa - Cobertura</v>
          </cell>
          <cell r="J315" t="str">
            <v>3 - CUSTOS DIRETOS</v>
          </cell>
          <cell r="K315" t="str">
            <v>3 - CUSTOS DIRETOS1.005.008.016</v>
          </cell>
          <cell r="L315">
            <v>29600.959999999999</v>
          </cell>
          <cell r="N315">
            <v>46566.180000000015</v>
          </cell>
          <cell r="O315">
            <v>0</v>
          </cell>
          <cell r="P315">
            <v>0</v>
          </cell>
          <cell r="Q315">
            <v>0</v>
          </cell>
          <cell r="R315">
            <v>46566.180000000015</v>
          </cell>
          <cell r="T315">
            <v>0</v>
          </cell>
          <cell r="U315">
            <v>46566.180000000015</v>
          </cell>
          <cell r="V315">
            <v>-16965.220000000016</v>
          </cell>
        </row>
        <row r="316">
          <cell r="D316" t="str">
            <v>LANÇAMENTO DE GRAUTE VERTICAL E HORIZONTAL</v>
          </cell>
          <cell r="I316" t="str">
            <v>01.005.009 - LANÇAMENTO DE GRAUTE VERTICAL E HORIZONTAL</v>
          </cell>
          <cell r="J316" t="str">
            <v>3 - CUSTOS DIRETOS</v>
          </cell>
          <cell r="K316" t="str">
            <v>3 - CUSTOS DIRETOS1.005.009</v>
          </cell>
          <cell r="L316">
            <v>117971.16999999995</v>
          </cell>
          <cell r="N316">
            <v>166191.38</v>
          </cell>
          <cell r="O316">
            <v>0</v>
          </cell>
          <cell r="P316">
            <v>0</v>
          </cell>
          <cell r="Q316">
            <v>0</v>
          </cell>
          <cell r="R316">
            <v>166191.38</v>
          </cell>
          <cell r="T316">
            <v>0</v>
          </cell>
          <cell r="U316">
            <v>166191.38</v>
          </cell>
          <cell r="V316">
            <v>-48220.21000000005</v>
          </cell>
        </row>
        <row r="317">
          <cell r="D317" t="str">
            <v>Lançamento De Graute Vertical E Horizontal - 1º Pavimento</v>
          </cell>
          <cell r="E317">
            <v>35.19</v>
          </cell>
          <cell r="F317" t="str">
            <v>vb</v>
          </cell>
          <cell r="G317">
            <v>16813.43</v>
          </cell>
          <cell r="H317">
            <v>0</v>
          </cell>
          <cell r="I317" t="str">
            <v>01.005.009.001 - Lançamento De Graute Vertical E Horizontal - 1º Pavimento</v>
          </cell>
          <cell r="J317" t="str">
            <v>3 - CUSTOS DIRETOS</v>
          </cell>
          <cell r="K317" t="str">
            <v>3 - CUSTOS DIRETOS1.005.009.001</v>
          </cell>
          <cell r="L317">
            <v>16813.43</v>
          </cell>
          <cell r="N317">
            <v>32884.979999999996</v>
          </cell>
          <cell r="O317">
            <v>0</v>
          </cell>
          <cell r="P317">
            <v>0</v>
          </cell>
          <cell r="Q317">
            <v>0</v>
          </cell>
          <cell r="R317">
            <v>32884.979999999996</v>
          </cell>
          <cell r="T317">
            <v>0</v>
          </cell>
          <cell r="U317">
            <v>32884.979999999996</v>
          </cell>
          <cell r="V317">
            <v>-16071.549999999996</v>
          </cell>
        </row>
        <row r="318">
          <cell r="D318" t="str">
            <v>Lançamento De Graute Vertical E Horizontal - 2º Pavimento</v>
          </cell>
          <cell r="E318">
            <v>14.49</v>
          </cell>
          <cell r="F318" t="str">
            <v>vb</v>
          </cell>
          <cell r="G318">
            <v>6923.18</v>
          </cell>
          <cell r="H318">
            <v>0</v>
          </cell>
          <cell r="I318" t="str">
            <v>01.005.009.002 - Lançamento De Graute Vertical E Horizontal - 2º Pavimento</v>
          </cell>
          <cell r="J318" t="str">
            <v>3 - CUSTOS DIRETOS</v>
          </cell>
          <cell r="K318" t="str">
            <v>3 - CUSTOS DIRETOS1.005.009.002</v>
          </cell>
          <cell r="L318">
            <v>6923.18</v>
          </cell>
          <cell r="N318">
            <v>7742.7999999999993</v>
          </cell>
          <cell r="O318">
            <v>0</v>
          </cell>
          <cell r="P318">
            <v>0</v>
          </cell>
          <cell r="Q318">
            <v>0</v>
          </cell>
          <cell r="R318">
            <v>7742.7999999999993</v>
          </cell>
          <cell r="T318">
            <v>0</v>
          </cell>
          <cell r="U318">
            <v>7742.7999999999993</v>
          </cell>
          <cell r="V318">
            <v>-819.61999999999898</v>
          </cell>
        </row>
        <row r="319">
          <cell r="D319" t="str">
            <v>Lançamento De Graute Vertical E Horizontal - 3º Pavimento</v>
          </cell>
          <cell r="E319">
            <v>14.49</v>
          </cell>
          <cell r="F319" t="str">
            <v>vb</v>
          </cell>
          <cell r="G319">
            <v>6923.18</v>
          </cell>
          <cell r="H319">
            <v>0</v>
          </cell>
          <cell r="I319" t="str">
            <v>01.005.009.003 - Lançamento De Graute Vertical E Horizontal - 3º Pavimento</v>
          </cell>
          <cell r="J319" t="str">
            <v>3 - CUSTOS DIRETOS</v>
          </cell>
          <cell r="K319" t="str">
            <v>3 - CUSTOS DIRETOS1.005.009.003</v>
          </cell>
          <cell r="L319">
            <v>6923.18</v>
          </cell>
          <cell r="N319">
            <v>2519.98</v>
          </cell>
          <cell r="O319">
            <v>0</v>
          </cell>
          <cell r="P319">
            <v>0</v>
          </cell>
          <cell r="Q319">
            <v>0</v>
          </cell>
          <cell r="R319">
            <v>2519.98</v>
          </cell>
          <cell r="T319">
            <v>0</v>
          </cell>
          <cell r="U319">
            <v>2519.98</v>
          </cell>
          <cell r="V319">
            <v>4403.2000000000007</v>
          </cell>
        </row>
        <row r="320">
          <cell r="D320" t="str">
            <v>Lançamento De Graute Vertical E Horizontal - 4º Pavimento</v>
          </cell>
          <cell r="E320">
            <v>14.49</v>
          </cell>
          <cell r="F320" t="str">
            <v>vb</v>
          </cell>
          <cell r="G320">
            <v>6923.18</v>
          </cell>
          <cell r="H320">
            <v>0</v>
          </cell>
          <cell r="I320" t="str">
            <v>01.005.009.004 - Lançamento De Graute Vertical E Horizontal - 4º Pavimento</v>
          </cell>
          <cell r="J320" t="str">
            <v>3 - CUSTOS DIRETOS</v>
          </cell>
          <cell r="K320" t="str">
            <v>3 - CUSTOS DIRETOS1.005.009.004</v>
          </cell>
          <cell r="L320">
            <v>6923.18</v>
          </cell>
          <cell r="N320">
            <v>2922.6099999999997</v>
          </cell>
          <cell r="O320">
            <v>0</v>
          </cell>
          <cell r="P320">
            <v>0</v>
          </cell>
          <cell r="Q320">
            <v>0</v>
          </cell>
          <cell r="R320">
            <v>2922.6099999999997</v>
          </cell>
          <cell r="T320">
            <v>0</v>
          </cell>
          <cell r="U320">
            <v>2922.6099999999997</v>
          </cell>
          <cell r="V320">
            <v>4000.5700000000006</v>
          </cell>
        </row>
        <row r="321">
          <cell r="D321" t="str">
            <v>Lançamento De Graute Vertical E Horizontal - 5º Pavimento</v>
          </cell>
          <cell r="E321">
            <v>14.49</v>
          </cell>
          <cell r="F321" t="str">
            <v>vb</v>
          </cell>
          <cell r="G321">
            <v>6923.18</v>
          </cell>
          <cell r="H321">
            <v>0</v>
          </cell>
          <cell r="I321" t="str">
            <v>01.005.009.005 - Lançamento De Graute Vertical E Horizontal - 5º Pavimento</v>
          </cell>
          <cell r="J321" t="str">
            <v>3 - CUSTOS DIRETOS</v>
          </cell>
          <cell r="K321" t="str">
            <v>3 - CUSTOS DIRETOS1.005.009.005</v>
          </cell>
          <cell r="L321">
            <v>6923.18</v>
          </cell>
          <cell r="N321">
            <v>1725.12</v>
          </cell>
          <cell r="O321">
            <v>0</v>
          </cell>
          <cell r="P321">
            <v>0</v>
          </cell>
          <cell r="Q321">
            <v>0</v>
          </cell>
          <cell r="R321">
            <v>1725.12</v>
          </cell>
          <cell r="T321">
            <v>0</v>
          </cell>
          <cell r="U321">
            <v>1725.12</v>
          </cell>
          <cell r="V321">
            <v>5198.0600000000004</v>
          </cell>
        </row>
        <row r="322">
          <cell r="D322" t="str">
            <v>Lançamento De Graute Vertical E Horizontal - 6º Pavimento</v>
          </cell>
          <cell r="E322">
            <v>14.49</v>
          </cell>
          <cell r="F322" t="str">
            <v>vb</v>
          </cell>
          <cell r="G322">
            <v>6923.18</v>
          </cell>
          <cell r="H322">
            <v>0</v>
          </cell>
          <cell r="I322" t="str">
            <v>01.005.009.006 - Lançamento De Graute Vertical E Horizontal - 6º Pavimento</v>
          </cell>
          <cell r="J322" t="str">
            <v>3 - CUSTOS DIRETOS</v>
          </cell>
          <cell r="K322" t="str">
            <v>3 - CUSTOS DIRETOS1.005.009.006</v>
          </cell>
          <cell r="L322">
            <v>6923.18</v>
          </cell>
          <cell r="N322">
            <v>11850.130000000001</v>
          </cell>
          <cell r="O322">
            <v>0</v>
          </cell>
          <cell r="P322">
            <v>0</v>
          </cell>
          <cell r="Q322">
            <v>0</v>
          </cell>
          <cell r="R322">
            <v>11850.130000000001</v>
          </cell>
          <cell r="T322">
            <v>0</v>
          </cell>
          <cell r="U322">
            <v>11850.130000000001</v>
          </cell>
          <cell r="V322">
            <v>-4926.9500000000007</v>
          </cell>
        </row>
        <row r="323">
          <cell r="D323" t="str">
            <v>Lançamento De Graute Vertical E Horizontal - 7º Pavimento</v>
          </cell>
          <cell r="E323">
            <v>14.49</v>
          </cell>
          <cell r="F323" t="str">
            <v>vb</v>
          </cell>
          <cell r="G323">
            <v>6923.18</v>
          </cell>
          <cell r="H323">
            <v>0</v>
          </cell>
          <cell r="I323" t="str">
            <v>01.005.009.007 - Lançamento De Graute Vertical E Horizontal - 7º Pavimento</v>
          </cell>
          <cell r="J323" t="str">
            <v>3 - CUSTOS DIRETOS</v>
          </cell>
          <cell r="K323" t="str">
            <v>3 - CUSTOS DIRETOS1.005.009.007</v>
          </cell>
          <cell r="L323">
            <v>6923.18</v>
          </cell>
          <cell r="N323">
            <v>18975.34</v>
          </cell>
          <cell r="O323">
            <v>0</v>
          </cell>
          <cell r="P323">
            <v>0</v>
          </cell>
          <cell r="Q323">
            <v>0</v>
          </cell>
          <cell r="R323">
            <v>18975.34</v>
          </cell>
          <cell r="T323">
            <v>0</v>
          </cell>
          <cell r="U323">
            <v>18975.34</v>
          </cell>
          <cell r="V323">
            <v>-12052.16</v>
          </cell>
        </row>
        <row r="324">
          <cell r="D324" t="str">
            <v>Lançamento De Graute Vertical E Horizontal - 8º Pavimento</v>
          </cell>
          <cell r="E324">
            <v>14.49</v>
          </cell>
          <cell r="F324" t="str">
            <v>vb</v>
          </cell>
          <cell r="G324">
            <v>6923.18</v>
          </cell>
          <cell r="H324">
            <v>0</v>
          </cell>
          <cell r="I324" t="str">
            <v>01.005.009.008 - Lançamento De Graute Vertical E Horizontal - 8º Pavimento</v>
          </cell>
          <cell r="J324" t="str">
            <v>3 - CUSTOS DIRETOS</v>
          </cell>
          <cell r="K324" t="str">
            <v>3 - CUSTOS DIRETOS1.005.009.008</v>
          </cell>
          <cell r="L324">
            <v>6923.18</v>
          </cell>
          <cell r="N324">
            <v>13396.57</v>
          </cell>
          <cell r="O324">
            <v>0</v>
          </cell>
          <cell r="P324">
            <v>0</v>
          </cell>
          <cell r="Q324">
            <v>0</v>
          </cell>
          <cell r="R324">
            <v>13396.57</v>
          </cell>
          <cell r="T324">
            <v>0</v>
          </cell>
          <cell r="U324">
            <v>13396.57</v>
          </cell>
          <cell r="V324">
            <v>-6473.3899999999994</v>
          </cell>
        </row>
        <row r="325">
          <cell r="D325" t="str">
            <v>Lançamento De Graute Vertical E Horizontal - 9º Pavimento</v>
          </cell>
          <cell r="E325">
            <v>14.49</v>
          </cell>
          <cell r="F325" t="str">
            <v>vb</v>
          </cell>
          <cell r="G325">
            <v>6923.18</v>
          </cell>
          <cell r="H325">
            <v>0</v>
          </cell>
          <cell r="I325" t="str">
            <v>01.005.009.009 - Lançamento De Graute Vertical E Horizontal - 9º Pavimento</v>
          </cell>
          <cell r="J325" t="str">
            <v>3 - CUSTOS DIRETOS</v>
          </cell>
          <cell r="K325" t="str">
            <v>3 - CUSTOS DIRETOS1.005.009.009</v>
          </cell>
          <cell r="L325">
            <v>6923.18</v>
          </cell>
          <cell r="N325">
            <v>9259.85</v>
          </cell>
          <cell r="O325">
            <v>0</v>
          </cell>
          <cell r="P325">
            <v>0</v>
          </cell>
          <cell r="Q325">
            <v>0</v>
          </cell>
          <cell r="R325">
            <v>9259.85</v>
          </cell>
          <cell r="T325">
            <v>0</v>
          </cell>
          <cell r="U325">
            <v>9259.85</v>
          </cell>
          <cell r="V325">
            <v>-2336.67</v>
          </cell>
        </row>
        <row r="326">
          <cell r="D326" t="str">
            <v>Lançamento De Graute Vertical E Horizontal - 10º Pavimento</v>
          </cell>
          <cell r="E326">
            <v>14.49</v>
          </cell>
          <cell r="F326" t="str">
            <v>vb</v>
          </cell>
          <cell r="G326">
            <v>6923.18</v>
          </cell>
          <cell r="H326">
            <v>0</v>
          </cell>
          <cell r="I326" t="str">
            <v>01.005.009.010 - Lançamento De Graute Vertical E Horizontal - 10º Pavimento</v>
          </cell>
          <cell r="J326" t="str">
            <v>3 - CUSTOS DIRETOS</v>
          </cell>
          <cell r="K326" t="str">
            <v>3 - CUSTOS DIRETOS1.005.009.010</v>
          </cell>
          <cell r="L326">
            <v>6923.18</v>
          </cell>
          <cell r="N326">
            <v>3837.2</v>
          </cell>
          <cell r="O326">
            <v>0</v>
          </cell>
          <cell r="P326">
            <v>0</v>
          </cell>
          <cell r="Q326">
            <v>0</v>
          </cell>
          <cell r="R326">
            <v>3837.2</v>
          </cell>
          <cell r="T326">
            <v>0</v>
          </cell>
          <cell r="U326">
            <v>3837.2</v>
          </cell>
          <cell r="V326">
            <v>3085.9800000000005</v>
          </cell>
        </row>
        <row r="327">
          <cell r="D327" t="str">
            <v>Lançamento De Graute Vertical E Horizontal - 11º Pavimento</v>
          </cell>
          <cell r="E327">
            <v>14.49</v>
          </cell>
          <cell r="F327" t="str">
            <v>vb</v>
          </cell>
          <cell r="G327">
            <v>6923.18</v>
          </cell>
          <cell r="H327">
            <v>0</v>
          </cell>
          <cell r="I327" t="str">
            <v>01.005.009.011 - Lançamento De Graute Vertical E Horizontal - 11º Pavimento</v>
          </cell>
          <cell r="J327" t="str">
            <v>3 - CUSTOS DIRETOS</v>
          </cell>
          <cell r="K327" t="str">
            <v>3 - CUSTOS DIRETOS1.005.009.011</v>
          </cell>
          <cell r="L327">
            <v>6923.18</v>
          </cell>
          <cell r="N327">
            <v>5287.5999999999995</v>
          </cell>
          <cell r="O327">
            <v>0</v>
          </cell>
          <cell r="P327">
            <v>0</v>
          </cell>
          <cell r="Q327">
            <v>0</v>
          </cell>
          <cell r="R327">
            <v>5287.5999999999995</v>
          </cell>
          <cell r="T327">
            <v>0</v>
          </cell>
          <cell r="U327">
            <v>5287.5999999999995</v>
          </cell>
          <cell r="V327">
            <v>1635.5800000000008</v>
          </cell>
        </row>
        <row r="328">
          <cell r="D328" t="str">
            <v>Lançamento De Graute Vertical E Horizontal - 12º Pavimento</v>
          </cell>
          <cell r="E328">
            <v>14.49</v>
          </cell>
          <cell r="F328" t="str">
            <v>vb</v>
          </cell>
          <cell r="G328">
            <v>6923.18</v>
          </cell>
          <cell r="H328">
            <v>0</v>
          </cell>
          <cell r="I328" t="str">
            <v>01.005.009.012 - Lançamento De Graute Vertical E Horizontal - 12º Pavimento</v>
          </cell>
          <cell r="J328" t="str">
            <v>3 - CUSTOS DIRETOS</v>
          </cell>
          <cell r="K328" t="str">
            <v>3 - CUSTOS DIRETOS1.005.009.012</v>
          </cell>
          <cell r="L328">
            <v>6923.18</v>
          </cell>
          <cell r="N328">
            <v>12746.009999999998</v>
          </cell>
          <cell r="O328">
            <v>0</v>
          </cell>
          <cell r="P328">
            <v>0</v>
          </cell>
          <cell r="Q328">
            <v>0</v>
          </cell>
          <cell r="R328">
            <v>12746.009999999998</v>
          </cell>
          <cell r="T328">
            <v>0</v>
          </cell>
          <cell r="U328">
            <v>12746.009999999998</v>
          </cell>
          <cell r="V328">
            <v>-5822.8299999999981</v>
          </cell>
        </row>
        <row r="329">
          <cell r="D329" t="str">
            <v>Lançamento De Graute Vertical E Horizontal - 13º Pavimento</v>
          </cell>
          <cell r="E329">
            <v>14.49</v>
          </cell>
          <cell r="F329" t="str">
            <v>vb</v>
          </cell>
          <cell r="G329">
            <v>6923.18</v>
          </cell>
          <cell r="H329">
            <v>0</v>
          </cell>
          <cell r="I329" t="str">
            <v>01.005.009.013 - Lançamento De Graute Vertical E Horizontal - 13º Pavimento</v>
          </cell>
          <cell r="J329" t="str">
            <v>3 - CUSTOS DIRETOS</v>
          </cell>
          <cell r="K329" t="str">
            <v>3 - CUSTOS DIRETOS1.005.009.013</v>
          </cell>
          <cell r="L329">
            <v>6923.18</v>
          </cell>
          <cell r="N329">
            <v>687.08999999999992</v>
          </cell>
          <cell r="O329">
            <v>0</v>
          </cell>
          <cell r="P329">
            <v>0</v>
          </cell>
          <cell r="Q329">
            <v>0</v>
          </cell>
          <cell r="R329">
            <v>687.08999999999992</v>
          </cell>
          <cell r="T329">
            <v>0</v>
          </cell>
          <cell r="U329">
            <v>687.08999999999992</v>
          </cell>
          <cell r="V329">
            <v>6236.09</v>
          </cell>
        </row>
        <row r="330">
          <cell r="D330" t="str">
            <v>Lançamento De Graute Vertical E Horizontal - 14º Pavimento</v>
          </cell>
          <cell r="E330">
            <v>14.49</v>
          </cell>
          <cell r="F330" t="str">
            <v>vb</v>
          </cell>
          <cell r="G330">
            <v>6923.18</v>
          </cell>
          <cell r="H330">
            <v>0</v>
          </cell>
          <cell r="I330" t="str">
            <v>01.005.009.014 - Lançamento De Graute Vertical E Horizontal - 14º Pavimento</v>
          </cell>
          <cell r="J330" t="str">
            <v>3 - CUSTOS DIRETOS</v>
          </cell>
          <cell r="K330" t="str">
            <v>3 - CUSTOS DIRETOS1.005.009.014</v>
          </cell>
          <cell r="L330">
            <v>6923.18</v>
          </cell>
          <cell r="N330">
            <v>26992.45</v>
          </cell>
          <cell r="O330">
            <v>0</v>
          </cell>
          <cell r="P330">
            <v>0</v>
          </cell>
          <cell r="Q330">
            <v>0</v>
          </cell>
          <cell r="R330">
            <v>26992.45</v>
          </cell>
          <cell r="T330">
            <v>0</v>
          </cell>
          <cell r="U330">
            <v>26992.45</v>
          </cell>
          <cell r="V330">
            <v>-20069.27</v>
          </cell>
        </row>
        <row r="331">
          <cell r="D331" t="str">
            <v>Lançamento De Graute Vertical E Horizontal - 15º Pavimento</v>
          </cell>
          <cell r="E331">
            <v>14.49</v>
          </cell>
          <cell r="F331" t="str">
            <v>vb</v>
          </cell>
          <cell r="G331">
            <v>6923.18</v>
          </cell>
          <cell r="H331">
            <v>0</v>
          </cell>
          <cell r="I331" t="str">
            <v>01.005.009.015 - Lançamento De Graute Vertical E Horizontal - 15º Pavimento</v>
          </cell>
          <cell r="J331" t="str">
            <v>3 - CUSTOS DIRETOS</v>
          </cell>
          <cell r="K331" t="str">
            <v>3 - CUSTOS DIRETOS1.005.009.015</v>
          </cell>
          <cell r="L331">
            <v>6923.18</v>
          </cell>
          <cell r="N331">
            <v>15363.65</v>
          </cell>
          <cell r="O331">
            <v>0</v>
          </cell>
          <cell r="P331">
            <v>0</v>
          </cell>
          <cell r="Q331">
            <v>0</v>
          </cell>
          <cell r="R331">
            <v>15363.65</v>
          </cell>
          <cell r="T331">
            <v>0</v>
          </cell>
          <cell r="U331">
            <v>15363.65</v>
          </cell>
          <cell r="V331">
            <v>-8440.4699999999993</v>
          </cell>
        </row>
        <row r="332">
          <cell r="D332" t="str">
            <v>Lançamento De Graute Vertical E Horizontal - Cobertura</v>
          </cell>
          <cell r="E332">
            <v>8.86</v>
          </cell>
          <cell r="F332" t="str">
            <v>vb</v>
          </cell>
          <cell r="G332">
            <v>4233.22</v>
          </cell>
          <cell r="H332">
            <v>0</v>
          </cell>
          <cell r="I332" t="str">
            <v>01.005.009.016 - Lançamento De Graute Vertical E Horizontal - Cobertura</v>
          </cell>
          <cell r="J332" t="str">
            <v>3 - CUSTOS DIRETOS</v>
          </cell>
          <cell r="K332" t="str">
            <v>3 - CUSTOS DIRETOS1.005.009.016</v>
          </cell>
          <cell r="L332">
            <v>4233.22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T332">
            <v>0</v>
          </cell>
          <cell r="U332">
            <v>0</v>
          </cell>
          <cell r="V332">
            <v>4233.22</v>
          </cell>
        </row>
        <row r="333">
          <cell r="D333" t="str">
            <v>CONTROLE TECNOLÓGICO DE GRAUTES E BLOCOS</v>
          </cell>
          <cell r="I333" t="str">
            <v>01.005.010 - CONTROLE TECNOLÓGICO DE GRAUTES E BLOCOS</v>
          </cell>
          <cell r="J333" t="str">
            <v>3 - CUSTOS DIRETOS</v>
          </cell>
          <cell r="K333" t="str">
            <v>3 - CUSTOS DIRETOS1.005.010</v>
          </cell>
          <cell r="L333">
            <v>55000</v>
          </cell>
          <cell r="N333">
            <v>25793.9</v>
          </cell>
          <cell r="O333">
            <v>0</v>
          </cell>
          <cell r="P333">
            <v>25931.769999999997</v>
          </cell>
          <cell r="Q333">
            <v>0</v>
          </cell>
          <cell r="R333">
            <v>51725.67</v>
          </cell>
          <cell r="T333">
            <v>0</v>
          </cell>
          <cell r="U333">
            <v>51725.67</v>
          </cell>
          <cell r="V333">
            <v>3274.3300000000017</v>
          </cell>
        </row>
        <row r="334">
          <cell r="D334" t="str">
            <v>Controle Tecnológico De Grautes E Blocos</v>
          </cell>
          <cell r="E334">
            <v>1</v>
          </cell>
          <cell r="F334" t="str">
            <v>vb</v>
          </cell>
          <cell r="G334">
            <v>55000</v>
          </cell>
          <cell r="H334">
            <v>0</v>
          </cell>
          <cell r="I334" t="str">
            <v>01.005.010.001 - Controle Tecnológico De Grautes E Blocos</v>
          </cell>
          <cell r="J334" t="str">
            <v>3 - CUSTOS DIRETOS</v>
          </cell>
          <cell r="K334" t="str">
            <v>3 - CUSTOS DIRETOS1.005.010.001</v>
          </cell>
          <cell r="L334">
            <v>55000</v>
          </cell>
          <cell r="N334">
            <v>25793.9</v>
          </cell>
          <cell r="O334">
            <v>0</v>
          </cell>
          <cell r="P334">
            <v>25931.769999999997</v>
          </cell>
          <cell r="Q334">
            <v>0</v>
          </cell>
          <cell r="R334">
            <v>51725.67</v>
          </cell>
          <cell r="T334">
            <v>0</v>
          </cell>
          <cell r="U334">
            <v>51725.67</v>
          </cell>
          <cell r="V334">
            <v>3274.3300000000017</v>
          </cell>
        </row>
        <row r="335">
          <cell r="D335" t="str">
            <v>ARGAMASSA</v>
          </cell>
          <cell r="I335" t="str">
            <v>01.005.011 - ARGAMASSA</v>
          </cell>
          <cell r="J335" t="str">
            <v>3 - CUSTOS DIRETOS</v>
          </cell>
          <cell r="K335" t="str">
            <v>3 - CUSTOS DIRETOS1.005.011</v>
          </cell>
          <cell r="L335">
            <v>27992.26</v>
          </cell>
          <cell r="N335">
            <v>21917.920000000006</v>
          </cell>
          <cell r="O335">
            <v>0</v>
          </cell>
          <cell r="P335">
            <v>0</v>
          </cell>
          <cell r="Q335">
            <v>0</v>
          </cell>
          <cell r="R335">
            <v>21917.920000000006</v>
          </cell>
          <cell r="T335">
            <v>0</v>
          </cell>
          <cell r="U335">
            <v>21917.920000000006</v>
          </cell>
          <cell r="V335">
            <v>6074.3399999999929</v>
          </cell>
        </row>
        <row r="336">
          <cell r="D336" t="str">
            <v>Argamassa - 1º Pavimento</v>
          </cell>
          <cell r="E336">
            <v>3.31</v>
          </cell>
          <cell r="F336" t="str">
            <v>vb</v>
          </cell>
          <cell r="G336">
            <v>1780.45</v>
          </cell>
          <cell r="H336">
            <v>0</v>
          </cell>
          <cell r="I336" t="str">
            <v>01.005.011.001 - Argamassa - 1º Pavimento</v>
          </cell>
          <cell r="J336" t="str">
            <v>3 - CUSTOS DIRETOS</v>
          </cell>
          <cell r="K336" t="str">
            <v>3 - CUSTOS DIRETOS1.005.011.001</v>
          </cell>
          <cell r="L336">
            <v>1780.45</v>
          </cell>
          <cell r="N336">
            <v>2175.6500000000005</v>
          </cell>
          <cell r="O336">
            <v>0</v>
          </cell>
          <cell r="P336">
            <v>0</v>
          </cell>
          <cell r="Q336">
            <v>0</v>
          </cell>
          <cell r="R336">
            <v>2175.6500000000005</v>
          </cell>
          <cell r="T336">
            <v>0</v>
          </cell>
          <cell r="U336">
            <v>2175.6500000000005</v>
          </cell>
          <cell r="V336">
            <v>-395.2000000000005</v>
          </cell>
        </row>
        <row r="337">
          <cell r="D337" t="str">
            <v>Argamassa- 2º Pavimento</v>
          </cell>
          <cell r="E337">
            <v>3.36</v>
          </cell>
          <cell r="F337" t="str">
            <v>vb</v>
          </cell>
          <cell r="G337">
            <v>1807.34</v>
          </cell>
          <cell r="H337">
            <v>0</v>
          </cell>
          <cell r="I337" t="str">
            <v>01.005.011.002 - Argamassa- 2º Pavimento</v>
          </cell>
          <cell r="J337" t="str">
            <v>3 - CUSTOS DIRETOS</v>
          </cell>
          <cell r="K337" t="str">
            <v>3 - CUSTOS DIRETOS1.005.011.002</v>
          </cell>
          <cell r="L337">
            <v>1807.34</v>
          </cell>
          <cell r="N337">
            <v>534.18999999999994</v>
          </cell>
          <cell r="O337">
            <v>0</v>
          </cell>
          <cell r="P337">
            <v>0</v>
          </cell>
          <cell r="Q337">
            <v>0</v>
          </cell>
          <cell r="R337">
            <v>534.18999999999994</v>
          </cell>
          <cell r="T337">
            <v>0</v>
          </cell>
          <cell r="U337">
            <v>534.18999999999994</v>
          </cell>
          <cell r="V337">
            <v>1273.1500000000001</v>
          </cell>
        </row>
        <row r="338">
          <cell r="D338" t="str">
            <v>Argamassa- 3º Pavimento</v>
          </cell>
          <cell r="E338">
            <v>3.36</v>
          </cell>
          <cell r="F338" t="str">
            <v>vb</v>
          </cell>
          <cell r="G338">
            <v>1807.34</v>
          </cell>
          <cell r="H338">
            <v>0</v>
          </cell>
          <cell r="I338" t="str">
            <v>01.005.011.003 - Argamassa- 3º Pavimento</v>
          </cell>
          <cell r="J338" t="str">
            <v>3 - CUSTOS DIRETOS</v>
          </cell>
          <cell r="K338" t="str">
            <v>3 - CUSTOS DIRETOS1.005.011.003</v>
          </cell>
          <cell r="L338">
            <v>1807.34</v>
          </cell>
          <cell r="N338">
            <v>3313.7799999999997</v>
          </cell>
          <cell r="O338">
            <v>0</v>
          </cell>
          <cell r="P338">
            <v>0</v>
          </cell>
          <cell r="Q338">
            <v>0</v>
          </cell>
          <cell r="R338">
            <v>3313.7799999999997</v>
          </cell>
          <cell r="T338">
            <v>0</v>
          </cell>
          <cell r="U338">
            <v>3313.7799999999997</v>
          </cell>
          <cell r="V338">
            <v>-1506.4399999999998</v>
          </cell>
        </row>
        <row r="339">
          <cell r="D339" t="str">
            <v>Argamassa- 4º Pavimento</v>
          </cell>
          <cell r="E339">
            <v>3.36</v>
          </cell>
          <cell r="F339" t="str">
            <v>vb</v>
          </cell>
          <cell r="G339">
            <v>1807.34</v>
          </cell>
          <cell r="H339">
            <v>0</v>
          </cell>
          <cell r="I339" t="str">
            <v>01.005.011.004 - Argamassa- 4º Pavimento</v>
          </cell>
          <cell r="J339" t="str">
            <v>3 - CUSTOS DIRETOS</v>
          </cell>
          <cell r="K339" t="str">
            <v>3 - CUSTOS DIRETOS1.005.011.004</v>
          </cell>
          <cell r="L339">
            <v>1807.34</v>
          </cell>
          <cell r="N339">
            <v>3313.7799999999997</v>
          </cell>
          <cell r="O339">
            <v>0</v>
          </cell>
          <cell r="P339">
            <v>0</v>
          </cell>
          <cell r="Q339">
            <v>0</v>
          </cell>
          <cell r="R339">
            <v>3313.7799999999997</v>
          </cell>
          <cell r="T339">
            <v>0</v>
          </cell>
          <cell r="U339">
            <v>3313.7799999999997</v>
          </cell>
          <cell r="V339">
            <v>-1506.4399999999998</v>
          </cell>
        </row>
        <row r="340">
          <cell r="D340" t="str">
            <v>Argamassa- 5º Pavimento</v>
          </cell>
          <cell r="E340">
            <v>3.36</v>
          </cell>
          <cell r="F340" t="str">
            <v>vb</v>
          </cell>
          <cell r="G340">
            <v>1807.34</v>
          </cell>
          <cell r="H340">
            <v>0</v>
          </cell>
          <cell r="I340" t="str">
            <v>01.005.011.005 - Argamassa- 5º Pavimento</v>
          </cell>
          <cell r="J340" t="str">
            <v>3 - CUSTOS DIRETOS</v>
          </cell>
          <cell r="K340" t="str">
            <v>3 - CUSTOS DIRETOS1.005.011.005</v>
          </cell>
          <cell r="L340">
            <v>1807.34</v>
          </cell>
          <cell r="N340">
            <v>536.6</v>
          </cell>
          <cell r="O340">
            <v>0</v>
          </cell>
          <cell r="P340">
            <v>0</v>
          </cell>
          <cell r="Q340">
            <v>0</v>
          </cell>
          <cell r="R340">
            <v>536.6</v>
          </cell>
          <cell r="T340">
            <v>0</v>
          </cell>
          <cell r="U340">
            <v>536.6</v>
          </cell>
          <cell r="V340">
            <v>1270.7399999999998</v>
          </cell>
        </row>
        <row r="341">
          <cell r="D341" t="str">
            <v>Argamassa- 6º Pavimento</v>
          </cell>
          <cell r="E341">
            <v>3.36</v>
          </cell>
          <cell r="F341" t="str">
            <v>vb</v>
          </cell>
          <cell r="G341">
            <v>1807.34</v>
          </cell>
          <cell r="H341">
            <v>0</v>
          </cell>
          <cell r="I341" t="str">
            <v>01.005.011.006 - Argamassa- 6º Pavimento</v>
          </cell>
          <cell r="J341" t="str">
            <v>3 - CUSTOS DIRETOS</v>
          </cell>
          <cell r="K341" t="str">
            <v>3 - CUSTOS DIRETOS1.005.011.006</v>
          </cell>
          <cell r="L341">
            <v>1807.34</v>
          </cell>
          <cell r="N341">
            <v>535.63</v>
          </cell>
          <cell r="O341">
            <v>0</v>
          </cell>
          <cell r="P341">
            <v>0</v>
          </cell>
          <cell r="Q341">
            <v>0</v>
          </cell>
          <cell r="R341">
            <v>535.63</v>
          </cell>
          <cell r="T341">
            <v>0</v>
          </cell>
          <cell r="U341">
            <v>535.63</v>
          </cell>
          <cell r="V341">
            <v>1271.71</v>
          </cell>
        </row>
        <row r="342">
          <cell r="D342" t="str">
            <v>Argamassa- 7º Pavimento</v>
          </cell>
          <cell r="E342">
            <v>3.36</v>
          </cell>
          <cell r="F342" t="str">
            <v>vb</v>
          </cell>
          <cell r="G342">
            <v>1807.34</v>
          </cell>
          <cell r="H342">
            <v>0</v>
          </cell>
          <cell r="I342" t="str">
            <v>01.005.011.007 - Argamassa- 7º Pavimento</v>
          </cell>
          <cell r="J342" t="str">
            <v>3 - CUSTOS DIRETOS</v>
          </cell>
          <cell r="K342" t="str">
            <v>3 - CUSTOS DIRETOS1.005.011.007</v>
          </cell>
          <cell r="L342">
            <v>1807.34</v>
          </cell>
          <cell r="N342">
            <v>533.70000000000005</v>
          </cell>
          <cell r="O342">
            <v>0</v>
          </cell>
          <cell r="P342">
            <v>0</v>
          </cell>
          <cell r="Q342">
            <v>0</v>
          </cell>
          <cell r="R342">
            <v>533.70000000000005</v>
          </cell>
          <cell r="T342">
            <v>0</v>
          </cell>
          <cell r="U342">
            <v>533.70000000000005</v>
          </cell>
          <cell r="V342">
            <v>1273.6399999999999</v>
          </cell>
        </row>
        <row r="343">
          <cell r="D343" t="str">
            <v>Argamassa- 8º Pavimento</v>
          </cell>
          <cell r="E343">
            <v>3.36</v>
          </cell>
          <cell r="F343" t="str">
            <v>vb</v>
          </cell>
          <cell r="G343">
            <v>1807.34</v>
          </cell>
          <cell r="H343">
            <v>0</v>
          </cell>
          <cell r="I343" t="str">
            <v>01.005.011.008 - Argamassa- 8º Pavimento</v>
          </cell>
          <cell r="J343" t="str">
            <v>3 - CUSTOS DIRETOS</v>
          </cell>
          <cell r="K343" t="str">
            <v>3 - CUSTOS DIRETOS1.005.011.008</v>
          </cell>
          <cell r="L343">
            <v>1807.34</v>
          </cell>
          <cell r="N343">
            <v>533.70000000000005</v>
          </cell>
          <cell r="O343">
            <v>0</v>
          </cell>
          <cell r="P343">
            <v>0</v>
          </cell>
          <cell r="Q343">
            <v>0</v>
          </cell>
          <cell r="R343">
            <v>533.70000000000005</v>
          </cell>
          <cell r="T343">
            <v>0</v>
          </cell>
          <cell r="U343">
            <v>533.70000000000005</v>
          </cell>
          <cell r="V343">
            <v>1273.6399999999999</v>
          </cell>
        </row>
        <row r="344">
          <cell r="D344" t="str">
            <v>Argamassa- 9º Pavimento</v>
          </cell>
          <cell r="E344">
            <v>3.36</v>
          </cell>
          <cell r="F344" t="str">
            <v>vb</v>
          </cell>
          <cell r="G344">
            <v>1807.34</v>
          </cell>
          <cell r="H344">
            <v>0</v>
          </cell>
          <cell r="I344" t="str">
            <v>01.005.011.009 - Argamassa- 9º Pavimento</v>
          </cell>
          <cell r="J344" t="str">
            <v>3 - CUSTOS DIRETOS</v>
          </cell>
          <cell r="K344" t="str">
            <v>3 - CUSTOS DIRETOS1.005.011.009</v>
          </cell>
          <cell r="L344">
            <v>1807.34</v>
          </cell>
          <cell r="N344">
            <v>1197.8000000000006</v>
          </cell>
          <cell r="O344">
            <v>0</v>
          </cell>
          <cell r="P344">
            <v>0</v>
          </cell>
          <cell r="Q344">
            <v>0</v>
          </cell>
          <cell r="R344">
            <v>1197.8000000000006</v>
          </cell>
          <cell r="T344">
            <v>0</v>
          </cell>
          <cell r="U344">
            <v>1197.8000000000006</v>
          </cell>
          <cell r="V344">
            <v>609.53999999999928</v>
          </cell>
        </row>
        <row r="345">
          <cell r="D345" t="str">
            <v>Argamassa- 10º Pavimento</v>
          </cell>
          <cell r="E345">
            <v>3.36</v>
          </cell>
          <cell r="F345" t="str">
            <v>vb</v>
          </cell>
          <cell r="G345">
            <v>1807.34</v>
          </cell>
          <cell r="H345">
            <v>0</v>
          </cell>
          <cell r="I345" t="str">
            <v>01.005.011.010 - Argamassa- 10º Pavimento</v>
          </cell>
          <cell r="J345" t="str">
            <v>3 - CUSTOS DIRETOS</v>
          </cell>
          <cell r="K345" t="str">
            <v>3 - CUSTOS DIRETOS1.005.011.010</v>
          </cell>
          <cell r="L345">
            <v>1807.34</v>
          </cell>
          <cell r="N345">
            <v>1405.6000000000013</v>
          </cell>
          <cell r="O345">
            <v>0</v>
          </cell>
          <cell r="P345">
            <v>0</v>
          </cell>
          <cell r="Q345">
            <v>0</v>
          </cell>
          <cell r="R345">
            <v>1405.6000000000013</v>
          </cell>
          <cell r="T345">
            <v>0</v>
          </cell>
          <cell r="U345">
            <v>1405.6000000000013</v>
          </cell>
          <cell r="V345">
            <v>401.73999999999864</v>
          </cell>
        </row>
        <row r="346">
          <cell r="D346" t="str">
            <v>Argamassa- 11º Pavimento</v>
          </cell>
          <cell r="E346">
            <v>3.36</v>
          </cell>
          <cell r="F346" t="str">
            <v>vb</v>
          </cell>
          <cell r="G346">
            <v>1807.34</v>
          </cell>
          <cell r="H346">
            <v>0</v>
          </cell>
          <cell r="I346" t="str">
            <v>01.005.011.011 - Argamassa- 11º Pavimento</v>
          </cell>
          <cell r="J346" t="str">
            <v>3 - CUSTOS DIRETOS</v>
          </cell>
          <cell r="K346" t="str">
            <v>3 - CUSTOS DIRETOS1.005.011.011</v>
          </cell>
          <cell r="L346">
            <v>1807.34</v>
          </cell>
          <cell r="N346">
            <v>533.70000000000005</v>
          </cell>
          <cell r="O346">
            <v>0</v>
          </cell>
          <cell r="P346">
            <v>0</v>
          </cell>
          <cell r="Q346">
            <v>0</v>
          </cell>
          <cell r="R346">
            <v>533.70000000000005</v>
          </cell>
          <cell r="T346">
            <v>0</v>
          </cell>
          <cell r="U346">
            <v>533.70000000000005</v>
          </cell>
          <cell r="V346">
            <v>1273.6399999999999</v>
          </cell>
        </row>
        <row r="347">
          <cell r="D347" t="str">
            <v>Argamassa- 12º Pavimento</v>
          </cell>
          <cell r="E347">
            <v>3.36</v>
          </cell>
          <cell r="F347" t="str">
            <v>vb</v>
          </cell>
          <cell r="G347">
            <v>1807.34</v>
          </cell>
          <cell r="H347">
            <v>0</v>
          </cell>
          <cell r="I347" t="str">
            <v>01.005.011.012 - Argamassa- 12º Pavimento</v>
          </cell>
          <cell r="J347" t="str">
            <v>3 - CUSTOS DIRETOS</v>
          </cell>
          <cell r="K347" t="str">
            <v>3 - CUSTOS DIRETOS1.005.011.012</v>
          </cell>
          <cell r="L347">
            <v>1807.34</v>
          </cell>
          <cell r="N347">
            <v>533.69999999999993</v>
          </cell>
          <cell r="O347">
            <v>0</v>
          </cell>
          <cell r="P347">
            <v>0</v>
          </cell>
          <cell r="Q347">
            <v>0</v>
          </cell>
          <cell r="R347">
            <v>533.69999999999993</v>
          </cell>
          <cell r="T347">
            <v>0</v>
          </cell>
          <cell r="U347">
            <v>533.69999999999993</v>
          </cell>
          <cell r="V347">
            <v>1273.6399999999999</v>
          </cell>
        </row>
        <row r="348">
          <cell r="D348" t="str">
            <v>Argamassa- 13º Pavimento</v>
          </cell>
          <cell r="E348">
            <v>3.36</v>
          </cell>
          <cell r="F348" t="str">
            <v>vb</v>
          </cell>
          <cell r="G348">
            <v>1807.34</v>
          </cell>
          <cell r="H348">
            <v>0</v>
          </cell>
          <cell r="I348" t="str">
            <v>01.005.011.013 - Argamassa- 13º Pavimento</v>
          </cell>
          <cell r="J348" t="str">
            <v>3 - CUSTOS DIRETOS</v>
          </cell>
          <cell r="K348" t="str">
            <v>3 - CUSTOS DIRETOS1.005.011.013</v>
          </cell>
          <cell r="L348">
            <v>1807.34</v>
          </cell>
          <cell r="N348">
            <v>3118.95</v>
          </cell>
          <cell r="O348">
            <v>0</v>
          </cell>
          <cell r="P348">
            <v>0</v>
          </cell>
          <cell r="Q348">
            <v>0</v>
          </cell>
          <cell r="R348">
            <v>3118.95</v>
          </cell>
          <cell r="T348">
            <v>0</v>
          </cell>
          <cell r="U348">
            <v>3118.95</v>
          </cell>
          <cell r="V348">
            <v>-1311.61</v>
          </cell>
        </row>
        <row r="349">
          <cell r="D349" t="str">
            <v>Argamassa- 14º Pavimento</v>
          </cell>
          <cell r="E349">
            <v>3.36</v>
          </cell>
          <cell r="F349" t="str">
            <v>vb</v>
          </cell>
          <cell r="G349">
            <v>1807.34</v>
          </cell>
          <cell r="H349">
            <v>0</v>
          </cell>
          <cell r="I349" t="str">
            <v>01.005.011.014 - Argamassa- 14º Pavimento</v>
          </cell>
          <cell r="J349" t="str">
            <v>3 - CUSTOS DIRETOS</v>
          </cell>
          <cell r="K349" t="str">
            <v>3 - CUSTOS DIRETOS1.005.011.014</v>
          </cell>
          <cell r="L349">
            <v>1807.34</v>
          </cell>
          <cell r="N349">
            <v>3118.95</v>
          </cell>
          <cell r="O349">
            <v>0</v>
          </cell>
          <cell r="P349">
            <v>0</v>
          </cell>
          <cell r="Q349">
            <v>0</v>
          </cell>
          <cell r="R349">
            <v>3118.95</v>
          </cell>
          <cell r="T349">
            <v>0</v>
          </cell>
          <cell r="U349">
            <v>3118.95</v>
          </cell>
          <cell r="V349">
            <v>-1311.61</v>
          </cell>
        </row>
        <row r="350">
          <cell r="D350" t="str">
            <v>Argamassa- 15º Pavimento</v>
          </cell>
          <cell r="E350">
            <v>3.36</v>
          </cell>
          <cell r="F350" t="str">
            <v>vb</v>
          </cell>
          <cell r="G350">
            <v>1807.34</v>
          </cell>
          <cell r="H350">
            <v>0</v>
          </cell>
          <cell r="I350" t="str">
            <v>01.005.011.015 - Argamassa- 15º Pavimento</v>
          </cell>
          <cell r="J350" t="str">
            <v>3 - CUSTOS DIRETOS</v>
          </cell>
          <cell r="K350" t="str">
            <v>3 - CUSTOS DIRETOS1.005.011.015</v>
          </cell>
          <cell r="L350">
            <v>1807.34</v>
          </cell>
          <cell r="N350">
            <v>532.18999999999994</v>
          </cell>
          <cell r="O350">
            <v>0</v>
          </cell>
          <cell r="P350">
            <v>0</v>
          </cell>
          <cell r="Q350">
            <v>0</v>
          </cell>
          <cell r="R350">
            <v>532.18999999999994</v>
          </cell>
          <cell r="T350">
            <v>0</v>
          </cell>
          <cell r="U350">
            <v>532.18999999999994</v>
          </cell>
          <cell r="V350">
            <v>1275.1500000000001</v>
          </cell>
        </row>
        <row r="351">
          <cell r="D351" t="str">
            <v>Argamassa- Cobertura</v>
          </cell>
          <cell r="E351">
            <v>1.69</v>
          </cell>
          <cell r="F351" t="str">
            <v>vb</v>
          </cell>
          <cell r="G351">
            <v>909.05</v>
          </cell>
          <cell r="H351">
            <v>0</v>
          </cell>
          <cell r="I351" t="str">
            <v>01.005.011.016 - Argamassa- Cobertura</v>
          </cell>
          <cell r="J351" t="str">
            <v>3 - CUSTOS DIRETOS</v>
          </cell>
          <cell r="K351" t="str">
            <v>3 - CUSTOS DIRETOS1.005.011.016</v>
          </cell>
          <cell r="L351">
            <v>909.05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T351">
            <v>0</v>
          </cell>
          <cell r="U351">
            <v>0</v>
          </cell>
          <cell r="V351">
            <v>909.05</v>
          </cell>
        </row>
        <row r="352">
          <cell r="D352" t="str">
            <v>INSTALAÇÕES ELÉTRICAS/ TELEFÔNICAS/ SPDA</v>
          </cell>
          <cell r="I352" t="str">
            <v>01.006 - INSTALAÇÕES ELÉTRICAS/ TELEFÔNICAS/ SPDA</v>
          </cell>
          <cell r="J352" t="str">
            <v>3 - CUSTOS DIRETOS</v>
          </cell>
          <cell r="K352" t="str">
            <v>3 - CUSTOS DIRETOS1.006</v>
          </cell>
          <cell r="L352">
            <v>1150847.8699999999</v>
          </cell>
          <cell r="N352">
            <v>901606.7300000001</v>
          </cell>
          <cell r="O352">
            <v>96522.340000000011</v>
          </cell>
          <cell r="P352">
            <v>136235.72</v>
          </cell>
          <cell r="Q352">
            <v>36692.490000000005</v>
          </cell>
          <cell r="R352">
            <v>1171057.28</v>
          </cell>
          <cell r="T352">
            <v>187540.56</v>
          </cell>
          <cell r="U352">
            <v>1358597.84</v>
          </cell>
          <cell r="V352">
            <v>-207749.9700000002</v>
          </cell>
        </row>
        <row r="353">
          <cell r="D353" t="str">
            <v>INSTALAÇÕES ELÉTRICAS/ TELEFÔNICAS/ SPDA</v>
          </cell>
          <cell r="I353" t="str">
            <v>01.006.001 - INSTALAÇÕES ELÉTRICAS/ TELEFÔNICAS/ SPDA</v>
          </cell>
          <cell r="J353" t="str">
            <v>3 - CUSTOS DIRETOS</v>
          </cell>
          <cell r="K353" t="str">
            <v>3 - CUSTOS DIRETOS1.006.001</v>
          </cell>
          <cell r="L353">
            <v>1150847.8699999999</v>
          </cell>
          <cell r="N353">
            <v>901606.7300000001</v>
          </cell>
          <cell r="O353">
            <v>96522.340000000011</v>
          </cell>
          <cell r="P353">
            <v>136235.72</v>
          </cell>
          <cell r="Q353">
            <v>36692.490000000005</v>
          </cell>
          <cell r="R353">
            <v>1171057.28</v>
          </cell>
          <cell r="T353">
            <v>187540.56</v>
          </cell>
          <cell r="U353">
            <v>1358597.84</v>
          </cell>
          <cell r="V353">
            <v>-207749.9700000002</v>
          </cell>
        </row>
        <row r="354">
          <cell r="D354" t="str">
            <v>Tubulações Elétricas E Caixinhas</v>
          </cell>
          <cell r="E354">
            <v>1</v>
          </cell>
          <cell r="F354" t="str">
            <v>vb</v>
          </cell>
          <cell r="G354">
            <v>377991.09</v>
          </cell>
          <cell r="H354">
            <v>0</v>
          </cell>
          <cell r="I354" t="str">
            <v>01.006.001.001 - Tubulações Elétricas E Caixinhas</v>
          </cell>
          <cell r="J354" t="str">
            <v>3 - CUSTOS DIRETOS</v>
          </cell>
          <cell r="K354" t="str">
            <v>3 - CUSTOS DIRETOS1.006.001.001</v>
          </cell>
          <cell r="L354">
            <v>377991.09</v>
          </cell>
          <cell r="N354">
            <v>332587.75000000006</v>
          </cell>
          <cell r="O354">
            <v>5848.46</v>
          </cell>
          <cell r="P354">
            <v>22500.02</v>
          </cell>
          <cell r="Q354">
            <v>28086.99</v>
          </cell>
          <cell r="R354">
            <v>389023.22000000009</v>
          </cell>
          <cell r="T354">
            <v>0</v>
          </cell>
          <cell r="U354">
            <v>389023.22000000009</v>
          </cell>
          <cell r="V354">
            <v>-11032.130000000063</v>
          </cell>
        </row>
        <row r="355">
          <cell r="D355" t="str">
            <v>Fiação E Quadros De Distribuição</v>
          </cell>
          <cell r="E355">
            <v>1</v>
          </cell>
          <cell r="F355" t="str">
            <v>vb</v>
          </cell>
          <cell r="G355">
            <v>303742.84000000003</v>
          </cell>
          <cell r="H355">
            <v>0</v>
          </cell>
          <cell r="I355" t="str">
            <v>01.006.001.002 - Fiação E Quadros De Distribuição</v>
          </cell>
          <cell r="J355" t="str">
            <v>3 - CUSTOS DIRETOS</v>
          </cell>
          <cell r="K355" t="str">
            <v>3 - CUSTOS DIRETOS1.006.001.002</v>
          </cell>
          <cell r="L355">
            <v>303742.84000000003</v>
          </cell>
          <cell r="N355">
            <v>275263.51</v>
          </cell>
          <cell r="O355">
            <v>0</v>
          </cell>
          <cell r="P355">
            <v>41803.22</v>
          </cell>
          <cell r="Q355">
            <v>4779.99</v>
          </cell>
          <cell r="R355">
            <v>321846.71999999997</v>
          </cell>
          <cell r="T355">
            <v>0</v>
          </cell>
          <cell r="U355">
            <v>321846.71999999997</v>
          </cell>
          <cell r="V355">
            <v>-18103.879999999946</v>
          </cell>
        </row>
        <row r="356">
          <cell r="D356" t="str">
            <v>Alimentação E Medidores</v>
          </cell>
          <cell r="E356">
            <v>1</v>
          </cell>
          <cell r="F356" t="str">
            <v>vb</v>
          </cell>
          <cell r="G356">
            <v>80998.09</v>
          </cell>
          <cell r="H356">
            <v>0</v>
          </cell>
          <cell r="I356" t="str">
            <v>01.006.001.003 - Alimentação E Medidores</v>
          </cell>
          <cell r="J356" t="str">
            <v>3 - CUSTOS DIRETOS</v>
          </cell>
          <cell r="K356" t="str">
            <v>3 - CUSTOS DIRETOS1.006.001.003</v>
          </cell>
          <cell r="L356">
            <v>80998.09</v>
          </cell>
          <cell r="N356">
            <v>101230.48000000001</v>
          </cell>
          <cell r="O356">
            <v>83408.03</v>
          </cell>
          <cell r="P356">
            <v>24399.059999999998</v>
          </cell>
          <cell r="Q356">
            <v>0</v>
          </cell>
          <cell r="R356">
            <v>209037.57</v>
          </cell>
          <cell r="T356">
            <v>0</v>
          </cell>
          <cell r="U356">
            <v>209037.57</v>
          </cell>
          <cell r="V356">
            <v>-128039.48000000001</v>
          </cell>
        </row>
        <row r="357">
          <cell r="D357" t="str">
            <v>Tomadas E Interruptores</v>
          </cell>
          <cell r="E357">
            <v>1</v>
          </cell>
          <cell r="F357" t="str">
            <v>vb</v>
          </cell>
          <cell r="G357">
            <v>132296.88</v>
          </cell>
          <cell r="H357">
            <v>0</v>
          </cell>
          <cell r="I357" t="str">
            <v>01.006.001.004 - Tomadas E Interruptores</v>
          </cell>
          <cell r="J357" t="str">
            <v>3 - CUSTOS DIRETOS</v>
          </cell>
          <cell r="K357" t="str">
            <v>3 - CUSTOS DIRETOS1.006.001.004</v>
          </cell>
          <cell r="L357">
            <v>132296.88</v>
          </cell>
          <cell r="N357">
            <v>72548.42</v>
          </cell>
          <cell r="O357">
            <v>0</v>
          </cell>
          <cell r="P357">
            <v>29998.32</v>
          </cell>
          <cell r="Q357">
            <v>3727.04</v>
          </cell>
          <cell r="R357">
            <v>106273.77999999998</v>
          </cell>
          <cell r="T357">
            <v>26023.10000000002</v>
          </cell>
          <cell r="U357">
            <v>132296.88</v>
          </cell>
          <cell r="V357">
            <v>0</v>
          </cell>
        </row>
        <row r="358">
          <cell r="D358" t="str">
            <v>Spda</v>
          </cell>
          <cell r="E358">
            <v>1</v>
          </cell>
          <cell r="F358" t="str">
            <v>vb</v>
          </cell>
          <cell r="G358">
            <v>82348.06</v>
          </cell>
          <cell r="H358">
            <v>0</v>
          </cell>
          <cell r="I358" t="str">
            <v>01.006.001.005 - Spda</v>
          </cell>
          <cell r="J358" t="str">
            <v>3 - CUSTOS DIRETOS</v>
          </cell>
          <cell r="K358" t="str">
            <v>3 - CUSTOS DIRETOS1.006.001.005</v>
          </cell>
          <cell r="L358">
            <v>82348.06</v>
          </cell>
          <cell r="N358">
            <v>32057.97</v>
          </cell>
          <cell r="O358">
            <v>0</v>
          </cell>
          <cell r="P358">
            <v>5000</v>
          </cell>
          <cell r="Q358">
            <v>98.47</v>
          </cell>
          <cell r="R358">
            <v>37156.44</v>
          </cell>
          <cell r="T358">
            <v>45191.619999999995</v>
          </cell>
          <cell r="U358">
            <v>82348.06</v>
          </cell>
          <cell r="V358">
            <v>0</v>
          </cell>
        </row>
        <row r="359">
          <cell r="D359" t="str">
            <v>Gerador De Energia</v>
          </cell>
          <cell r="E359">
            <v>1</v>
          </cell>
          <cell r="F359" t="str">
            <v>vb</v>
          </cell>
          <cell r="G359">
            <v>107997.45</v>
          </cell>
          <cell r="H359">
            <v>0</v>
          </cell>
          <cell r="I359" t="str">
            <v>01.006.001.006 - Gerador De Energia</v>
          </cell>
          <cell r="J359" t="str">
            <v>3 - CUSTOS DIRETOS</v>
          </cell>
          <cell r="K359" t="str">
            <v>3 - CUSTOS DIRETOS1.006.001.006</v>
          </cell>
          <cell r="L359">
            <v>107997.45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T359">
            <v>107997.45</v>
          </cell>
          <cell r="U359">
            <v>107997.45</v>
          </cell>
          <cell r="V359">
            <v>0</v>
          </cell>
        </row>
        <row r="360">
          <cell r="D360" t="str">
            <v>Tranformador Definitivo / Rede De Alta Tensão - Material E Mão De Obra</v>
          </cell>
          <cell r="E360">
            <v>1</v>
          </cell>
          <cell r="F360" t="str">
            <v>vb</v>
          </cell>
          <cell r="G360">
            <v>47248.89</v>
          </cell>
          <cell r="H360">
            <v>0</v>
          </cell>
          <cell r="I360" t="str">
            <v>01.006.001.007 - Tranformador Definitivo / Rede De Alta Tensão - Material E Mão De Obra</v>
          </cell>
          <cell r="J360" t="str">
            <v>3 - CUSTOS DIRETOS</v>
          </cell>
          <cell r="K360" t="str">
            <v>3 - CUSTOS DIRETOS1.006.001.007</v>
          </cell>
          <cell r="L360">
            <v>47248.89</v>
          </cell>
          <cell r="N360">
            <v>78822.42</v>
          </cell>
          <cell r="O360">
            <v>6465.85</v>
          </cell>
          <cell r="P360">
            <v>12535.1</v>
          </cell>
          <cell r="Q360">
            <v>0</v>
          </cell>
          <cell r="R360">
            <v>97823.37000000001</v>
          </cell>
          <cell r="T360">
            <v>0</v>
          </cell>
          <cell r="U360">
            <v>97823.37000000001</v>
          </cell>
          <cell r="V360">
            <v>-50574.48000000001</v>
          </cell>
        </row>
        <row r="361">
          <cell r="D361" t="str">
            <v>Equipamentos E Fiação De Interfonia E Cftv</v>
          </cell>
          <cell r="E361">
            <v>1</v>
          </cell>
          <cell r="F361" t="str">
            <v>vb</v>
          </cell>
          <cell r="G361">
            <v>18224.57</v>
          </cell>
          <cell r="H361">
            <v>0</v>
          </cell>
          <cell r="I361" t="str">
            <v>01.006.001.008 - Equipamentos E Fiação De Interfonia E Cftv</v>
          </cell>
          <cell r="J361" t="str">
            <v>3 - CUSTOS DIRETOS</v>
          </cell>
          <cell r="K361" t="str">
            <v>3 - CUSTOS DIRETOS1.006.001.008</v>
          </cell>
          <cell r="L361">
            <v>18224.57</v>
          </cell>
          <cell r="N361">
            <v>9096.18</v>
          </cell>
          <cell r="O361">
            <v>800</v>
          </cell>
          <cell r="P361">
            <v>0</v>
          </cell>
          <cell r="Q361">
            <v>0</v>
          </cell>
          <cell r="R361">
            <v>9896.18</v>
          </cell>
          <cell r="T361">
            <v>8328.39</v>
          </cell>
          <cell r="U361">
            <v>18224.57</v>
          </cell>
          <cell r="V361">
            <v>0</v>
          </cell>
        </row>
        <row r="362">
          <cell r="D362" t="str">
            <v>INSTALAÇÕES DE AR CONDICIONADO /EXAUSTÃO/PRESSURIZAÇÃO/ALARME E DETECÇÃO</v>
          </cell>
          <cell r="I362" t="str">
            <v>01.007 - INSTALAÇÕES DE AR CONDICIONADO /EXAUSTÃO/PRESSURIZAÇÃO/ALARME E DETECÇÃO</v>
          </cell>
          <cell r="J362" t="str">
            <v>3 - CUSTOS DIRETOS</v>
          </cell>
          <cell r="K362" t="str">
            <v>3 - CUSTOS DIRETOS1.007</v>
          </cell>
          <cell r="L362">
            <v>261893.82</v>
          </cell>
          <cell r="N362">
            <v>166807.29999999999</v>
          </cell>
          <cell r="O362">
            <v>0</v>
          </cell>
          <cell r="P362">
            <v>60024.62000000001</v>
          </cell>
          <cell r="Q362">
            <v>0</v>
          </cell>
          <cell r="R362">
            <v>226831.91999999998</v>
          </cell>
          <cell r="T362">
            <v>0</v>
          </cell>
          <cell r="U362">
            <v>226831.91999999998</v>
          </cell>
          <cell r="V362">
            <v>35061.900000000023</v>
          </cell>
        </row>
        <row r="363">
          <cell r="D363" t="str">
            <v>INSTALAÇÕES DE AR CONDICIONADO /EXAUSTÃO/PRESSURIZAÇÃO/ALARME E DETECÇÃO</v>
          </cell>
          <cell r="I363" t="str">
            <v>01.007.001 - INSTALAÇÕES DE AR CONDICIONADO /EXAUSTÃO/PRESSURIZAÇÃO/ALARME E DETECÇÃO</v>
          </cell>
          <cell r="J363" t="str">
            <v>3 - CUSTOS DIRETOS</v>
          </cell>
          <cell r="K363" t="str">
            <v>3 - CUSTOS DIRETOS1.007.001</v>
          </cell>
          <cell r="L363">
            <v>261893.82</v>
          </cell>
          <cell r="N363">
            <v>166807.29999999999</v>
          </cell>
          <cell r="O363">
            <v>0</v>
          </cell>
          <cell r="P363">
            <v>60024.62000000001</v>
          </cell>
          <cell r="Q363">
            <v>0</v>
          </cell>
          <cell r="R363">
            <v>226831.91999999998</v>
          </cell>
          <cell r="T363">
            <v>0</v>
          </cell>
          <cell r="U363">
            <v>226831.91999999998</v>
          </cell>
          <cell r="V363">
            <v>35061.900000000023</v>
          </cell>
        </row>
        <row r="364">
          <cell r="D364" t="str">
            <v>Sistema E Instalações Da Rede De Ar Condicionado</v>
          </cell>
          <cell r="E364">
            <v>1</v>
          </cell>
          <cell r="F364" t="str">
            <v>vb</v>
          </cell>
          <cell r="G364">
            <v>29699.3</v>
          </cell>
          <cell r="H364">
            <v>0</v>
          </cell>
          <cell r="I364" t="str">
            <v>01.007.001.001 - Sistema E Instalações Da Rede De Ar Condicionado</v>
          </cell>
          <cell r="J364" t="str">
            <v>3 - CUSTOS DIRETOS</v>
          </cell>
          <cell r="K364" t="str">
            <v>3 - CUSTOS DIRETOS1.007.001.001</v>
          </cell>
          <cell r="L364">
            <v>29699.3</v>
          </cell>
          <cell r="N364">
            <v>31219.280000000002</v>
          </cell>
          <cell r="O364">
            <v>0</v>
          </cell>
          <cell r="P364">
            <v>0</v>
          </cell>
          <cell r="Q364">
            <v>0</v>
          </cell>
          <cell r="R364">
            <v>31219.280000000002</v>
          </cell>
          <cell r="T364">
            <v>0</v>
          </cell>
          <cell r="U364">
            <v>31219.280000000002</v>
          </cell>
          <cell r="V364">
            <v>-1519.9800000000032</v>
          </cell>
        </row>
        <row r="365">
          <cell r="D365" t="str">
            <v>Sistema De Pressurização</v>
          </cell>
          <cell r="E365">
            <v>1</v>
          </cell>
          <cell r="F365" t="str">
            <v>vb</v>
          </cell>
          <cell r="G365">
            <v>101247.61</v>
          </cell>
          <cell r="H365">
            <v>0</v>
          </cell>
          <cell r="I365" t="str">
            <v>01.007.001.002 - Sistema De Pressurização</v>
          </cell>
          <cell r="J365" t="str">
            <v>3 - CUSTOS DIRETOS</v>
          </cell>
          <cell r="K365" t="str">
            <v>3 - CUSTOS DIRETOS1.007.001.002</v>
          </cell>
          <cell r="L365">
            <v>101247.61</v>
          </cell>
          <cell r="N365">
            <v>95108.87</v>
          </cell>
          <cell r="O365">
            <v>0</v>
          </cell>
          <cell r="P365">
            <v>9.51</v>
          </cell>
          <cell r="Q365">
            <v>0</v>
          </cell>
          <cell r="R365">
            <v>95118.37999999999</v>
          </cell>
          <cell r="T365">
            <v>0</v>
          </cell>
          <cell r="U365">
            <v>95118.37999999999</v>
          </cell>
          <cell r="V365">
            <v>6129.2300000000105</v>
          </cell>
        </row>
        <row r="366">
          <cell r="D366" t="str">
            <v>Sistema De Exaustão</v>
          </cell>
          <cell r="E366">
            <v>1</v>
          </cell>
          <cell r="F366" t="str">
            <v>vb</v>
          </cell>
          <cell r="G366">
            <v>87747.93</v>
          </cell>
          <cell r="H366">
            <v>0</v>
          </cell>
          <cell r="I366" t="str">
            <v>01.007.001.003 - Sistema De Exaustão</v>
          </cell>
          <cell r="J366" t="str">
            <v>3 - CUSTOS DIRETOS</v>
          </cell>
          <cell r="K366" t="str">
            <v>3 - CUSTOS DIRETOS1.007.001.003</v>
          </cell>
          <cell r="L366">
            <v>87747.93</v>
          </cell>
          <cell r="N366">
            <v>40479.15</v>
          </cell>
          <cell r="O366">
            <v>0</v>
          </cell>
          <cell r="P366">
            <v>17996.7</v>
          </cell>
          <cell r="Q366">
            <v>0</v>
          </cell>
          <cell r="R366">
            <v>58475.850000000006</v>
          </cell>
          <cell r="T366">
            <v>0</v>
          </cell>
          <cell r="U366">
            <v>58475.850000000006</v>
          </cell>
          <cell r="V366">
            <v>29272.079999999987</v>
          </cell>
        </row>
        <row r="367">
          <cell r="D367" t="str">
            <v>Sistema De Alarme E Detecção</v>
          </cell>
          <cell r="E367">
            <v>1</v>
          </cell>
          <cell r="F367" t="str">
            <v>vb</v>
          </cell>
          <cell r="G367">
            <v>43198.98</v>
          </cell>
          <cell r="H367">
            <v>0</v>
          </cell>
          <cell r="I367" t="str">
            <v>01.007.001.004 - Sistema De Alarme E Detecção</v>
          </cell>
          <cell r="J367" t="str">
            <v>3 - CUSTOS DIRETOS</v>
          </cell>
          <cell r="K367" t="str">
            <v>3 - CUSTOS DIRETOS1.007.001.004</v>
          </cell>
          <cell r="L367">
            <v>43198.98</v>
          </cell>
          <cell r="N367">
            <v>0</v>
          </cell>
          <cell r="O367">
            <v>0</v>
          </cell>
          <cell r="P367">
            <v>42018.410000000011</v>
          </cell>
          <cell r="Q367">
            <v>0</v>
          </cell>
          <cell r="R367">
            <v>42018.410000000011</v>
          </cell>
          <cell r="T367">
            <v>0</v>
          </cell>
          <cell r="U367">
            <v>42018.410000000011</v>
          </cell>
          <cell r="V367">
            <v>1180.5699999999924</v>
          </cell>
        </row>
        <row r="368">
          <cell r="D368" t="str">
            <v>INSTALAÇÕES HIDROSSANITÁRIA, GÁS E INCÊNDIO</v>
          </cell>
          <cell r="I368" t="str">
            <v>01.008 - INSTALAÇÕES HIDROSSANITÁRIA, GÁS E INCÊNDIO</v>
          </cell>
          <cell r="J368" t="str">
            <v>3 - CUSTOS DIRETOS</v>
          </cell>
          <cell r="K368" t="str">
            <v>3 - CUSTOS DIRETOS1.008</v>
          </cell>
          <cell r="L368">
            <v>1142748.06</v>
          </cell>
          <cell r="N368">
            <v>768178.99000000022</v>
          </cell>
          <cell r="O368">
            <v>11913.74</v>
          </cell>
          <cell r="P368">
            <v>152834.26999999999</v>
          </cell>
          <cell r="Q368">
            <v>11490.25</v>
          </cell>
          <cell r="R368">
            <v>944417.25000000023</v>
          </cell>
          <cell r="T368">
            <v>357848.0199999999</v>
          </cell>
          <cell r="U368">
            <v>1302265.27</v>
          </cell>
          <cell r="V368">
            <v>-159517.20999999996</v>
          </cell>
        </row>
        <row r="369">
          <cell r="D369" t="str">
            <v>INSTALAÇÕES HIDROSSANITÁRIA, GÁS E INCÊNDIO</v>
          </cell>
          <cell r="I369" t="str">
            <v>01.008.001 - INSTALAÇÕES HIDROSSANITÁRIA, GÁS E INCÊNDIO</v>
          </cell>
          <cell r="J369" t="str">
            <v>3 - CUSTOS DIRETOS</v>
          </cell>
          <cell r="K369" t="str">
            <v>3 - CUSTOS DIRETOS1.008.001</v>
          </cell>
          <cell r="L369">
            <v>1142748.06</v>
          </cell>
          <cell r="N369">
            <v>768178.99000000022</v>
          </cell>
          <cell r="O369">
            <v>11913.74</v>
          </cell>
          <cell r="P369">
            <v>152834.26999999999</v>
          </cell>
          <cell r="Q369">
            <v>11490.25</v>
          </cell>
          <cell r="R369">
            <v>944417.25000000023</v>
          </cell>
          <cell r="T369">
            <v>357848.0199999999</v>
          </cell>
          <cell r="U369">
            <v>1302265.27</v>
          </cell>
          <cell r="V369">
            <v>-159517.20999999996</v>
          </cell>
        </row>
        <row r="370">
          <cell r="D370" t="str">
            <v>Prumadas Gerais + Chumbamento De Passagem</v>
          </cell>
          <cell r="E370">
            <v>1</v>
          </cell>
          <cell r="F370" t="str">
            <v>vb</v>
          </cell>
          <cell r="G370">
            <v>155246.34</v>
          </cell>
          <cell r="H370">
            <v>0</v>
          </cell>
          <cell r="I370" t="str">
            <v>01.008.001.001 - Prumadas Gerais + Chumbamento De Passagem</v>
          </cell>
          <cell r="J370" t="str">
            <v>3 - CUSTOS DIRETOS</v>
          </cell>
          <cell r="K370" t="str">
            <v>3 - CUSTOS DIRETOS1.008.001.001</v>
          </cell>
          <cell r="L370">
            <v>155246.34</v>
          </cell>
          <cell r="N370">
            <v>56169.86</v>
          </cell>
          <cell r="O370">
            <v>0</v>
          </cell>
          <cell r="P370">
            <v>17012.439999999999</v>
          </cell>
          <cell r="Q370">
            <v>0</v>
          </cell>
          <cell r="R370">
            <v>73182.3</v>
          </cell>
          <cell r="T370">
            <v>79425.069999999934</v>
          </cell>
          <cell r="U370">
            <v>152607.36999999994</v>
          </cell>
          <cell r="V370">
            <v>2638.9700000000594</v>
          </cell>
        </row>
        <row r="371">
          <cell r="D371" t="str">
            <v>Ramal De Água Fria, Isométricos, Bombas E Hidrômetros</v>
          </cell>
          <cell r="E371">
            <v>1</v>
          </cell>
          <cell r="F371" t="str">
            <v>vb</v>
          </cell>
          <cell r="G371">
            <v>477888.73</v>
          </cell>
          <cell r="H371">
            <v>0</v>
          </cell>
          <cell r="I371" t="str">
            <v>01.008.001.002 - Ramal De Água Fria, Isométricos, Bombas E Hidrômetros</v>
          </cell>
          <cell r="J371" t="str">
            <v>3 - CUSTOS DIRETOS</v>
          </cell>
          <cell r="K371" t="str">
            <v>3 - CUSTOS DIRETOS1.008.001.002</v>
          </cell>
          <cell r="L371">
            <v>477888.73</v>
          </cell>
          <cell r="N371">
            <v>329557.73000000016</v>
          </cell>
          <cell r="O371">
            <v>10540.67</v>
          </cell>
          <cell r="P371">
            <v>32538.939999999991</v>
          </cell>
          <cell r="Q371">
            <v>7306.13</v>
          </cell>
          <cell r="R371">
            <v>379943.47000000015</v>
          </cell>
          <cell r="T371">
            <v>93927.759999999951</v>
          </cell>
          <cell r="U371">
            <v>473871.2300000001</v>
          </cell>
          <cell r="V371">
            <v>4017.4999999998836</v>
          </cell>
        </row>
        <row r="372">
          <cell r="D372" t="str">
            <v>Fechamento De Esgoto Aéreo</v>
          </cell>
          <cell r="E372">
            <v>1</v>
          </cell>
          <cell r="F372" t="str">
            <v>vb</v>
          </cell>
          <cell r="G372">
            <v>321292.43</v>
          </cell>
          <cell r="H372">
            <v>0</v>
          </cell>
          <cell r="I372" t="str">
            <v>01.008.001.003 - Fechamento De Esgoto Aéreo</v>
          </cell>
          <cell r="J372" t="str">
            <v>3 - CUSTOS DIRETOS</v>
          </cell>
          <cell r="K372" t="str">
            <v>3 - CUSTOS DIRETOS1.008.001.003</v>
          </cell>
          <cell r="L372">
            <v>321292.43</v>
          </cell>
          <cell r="N372">
            <v>171741.26000000004</v>
          </cell>
          <cell r="O372">
            <v>1373.07</v>
          </cell>
          <cell r="P372">
            <v>0.01</v>
          </cell>
          <cell r="Q372">
            <v>4184.12</v>
          </cell>
          <cell r="R372">
            <v>177298.46000000005</v>
          </cell>
          <cell r="T372">
            <v>143993.97</v>
          </cell>
          <cell r="U372">
            <v>321292.43000000005</v>
          </cell>
          <cell r="V372">
            <v>0</v>
          </cell>
        </row>
        <row r="373">
          <cell r="D373" t="str">
            <v>Selagem De Prumadas, Ralos E Caixas</v>
          </cell>
          <cell r="E373">
            <v>1</v>
          </cell>
          <cell r="F373" t="str">
            <v>vb</v>
          </cell>
          <cell r="G373">
            <v>34424.19</v>
          </cell>
          <cell r="H373">
            <v>0</v>
          </cell>
          <cell r="I373" t="str">
            <v>01.008.001.004 - Selagem De Prumadas, Ralos E Caixas</v>
          </cell>
          <cell r="J373" t="str">
            <v>3 - CUSTOS DIRETOS</v>
          </cell>
          <cell r="K373" t="str">
            <v>3 - CUSTOS DIRETOS1.008.001.004</v>
          </cell>
          <cell r="L373">
            <v>34424.19</v>
          </cell>
          <cell r="N373">
            <v>59708.79</v>
          </cell>
          <cell r="O373">
            <v>0</v>
          </cell>
          <cell r="P373">
            <v>11986.59</v>
          </cell>
          <cell r="Q373">
            <v>0</v>
          </cell>
          <cell r="R373">
            <v>71695.38</v>
          </cell>
          <cell r="T373">
            <v>40501.219999999943</v>
          </cell>
          <cell r="U373">
            <v>112196.59999999995</v>
          </cell>
          <cell r="V373">
            <v>-77772.409999999945</v>
          </cell>
        </row>
        <row r="374">
          <cell r="D374" t="str">
            <v>Prevenção E Combate A Incêndio</v>
          </cell>
          <cell r="E374">
            <v>1</v>
          </cell>
          <cell r="F374" t="str">
            <v>vb</v>
          </cell>
          <cell r="G374">
            <v>93147.8</v>
          </cell>
          <cell r="H374">
            <v>0</v>
          </cell>
          <cell r="I374" t="str">
            <v>01.008.001.005 - Prevenção E Combate A Incêndio</v>
          </cell>
          <cell r="J374" t="str">
            <v>3 - CUSTOS DIRETOS</v>
          </cell>
          <cell r="K374" t="str">
            <v>3 - CUSTOS DIRETOS1.008.001.005</v>
          </cell>
          <cell r="L374">
            <v>93147.8</v>
          </cell>
          <cell r="N374">
            <v>84152.319999999992</v>
          </cell>
          <cell r="O374">
            <v>0</v>
          </cell>
          <cell r="P374">
            <v>89310.889999999985</v>
          </cell>
          <cell r="Q374">
            <v>0</v>
          </cell>
          <cell r="R374">
            <v>173463.20999999996</v>
          </cell>
          <cell r="T374">
            <v>0</v>
          </cell>
          <cell r="U374">
            <v>173463.20999999996</v>
          </cell>
          <cell r="V374">
            <v>173463.20999999996</v>
          </cell>
        </row>
        <row r="375">
          <cell r="D375" t="str">
            <v>Sistema De Gás</v>
          </cell>
          <cell r="E375">
            <v>1</v>
          </cell>
          <cell r="F375" t="str">
            <v>vb</v>
          </cell>
          <cell r="G375">
            <v>60748.57</v>
          </cell>
          <cell r="H375">
            <v>0</v>
          </cell>
          <cell r="I375" t="str">
            <v>01.008.001.006 - Sistema De Gás</v>
          </cell>
          <cell r="J375" t="str">
            <v>3 - CUSTOS DIRETOS</v>
          </cell>
          <cell r="K375" t="str">
            <v>3 - CUSTOS DIRETOS1.008.001.006</v>
          </cell>
          <cell r="L375">
            <v>60748.57</v>
          </cell>
          <cell r="N375">
            <v>66849.03</v>
          </cell>
          <cell r="O375">
            <v>0</v>
          </cell>
          <cell r="P375">
            <v>1985.4</v>
          </cell>
          <cell r="Q375">
            <v>0</v>
          </cell>
          <cell r="R375">
            <v>68834.429999999993</v>
          </cell>
          <cell r="T375">
            <v>0</v>
          </cell>
          <cell r="U375">
            <v>68834.429999999993</v>
          </cell>
          <cell r="V375">
            <v>-8085.8599999999933</v>
          </cell>
        </row>
        <row r="376">
          <cell r="D376" t="str">
            <v>BANCADAS, SOLEIRAS E  PEITORIS</v>
          </cell>
          <cell r="I376" t="str">
            <v>01.009 - BANCADAS, SOLEIRAS E  PEITORIS</v>
          </cell>
          <cell r="J376" t="str">
            <v>3 - CUSTOS DIRETOS</v>
          </cell>
          <cell r="K376" t="str">
            <v>3 - CUSTOS DIRETOS1.009</v>
          </cell>
          <cell r="L376">
            <v>532432.98</v>
          </cell>
          <cell r="N376">
            <v>137717.29999999999</v>
          </cell>
          <cell r="O376">
            <v>34510</v>
          </cell>
          <cell r="P376">
            <v>160631.90000000002</v>
          </cell>
          <cell r="Q376">
            <v>3972.86</v>
          </cell>
          <cell r="R376">
            <v>336832.06</v>
          </cell>
          <cell r="T376">
            <v>238753.96000000002</v>
          </cell>
          <cell r="U376">
            <v>575586.02</v>
          </cell>
          <cell r="V376">
            <v>-43153.040000000037</v>
          </cell>
        </row>
        <row r="377">
          <cell r="D377" t="str">
            <v>BANCADAS</v>
          </cell>
          <cell r="I377" t="str">
            <v>01.009.001 - BANCADAS</v>
          </cell>
          <cell r="J377" t="str">
            <v>3 - CUSTOS DIRETOS</v>
          </cell>
          <cell r="K377" t="str">
            <v>3 - CUSTOS DIRETOS1.009.001</v>
          </cell>
          <cell r="L377">
            <v>373488.78</v>
          </cell>
          <cell r="N377">
            <v>107024.29999999999</v>
          </cell>
          <cell r="O377">
            <v>34510</v>
          </cell>
          <cell r="P377">
            <v>106481.46</v>
          </cell>
          <cell r="Q377">
            <v>3972.86</v>
          </cell>
          <cell r="R377">
            <v>251988.62</v>
          </cell>
          <cell r="T377">
            <v>135392.80000000002</v>
          </cell>
          <cell r="U377">
            <v>387381.42000000004</v>
          </cell>
          <cell r="V377">
            <v>-13892.640000000014</v>
          </cell>
        </row>
        <row r="378">
          <cell r="D378" t="str">
            <v>Bancada Granito A Definir</v>
          </cell>
          <cell r="E378">
            <v>497</v>
          </cell>
          <cell r="F378" t="str">
            <v>vb</v>
          </cell>
          <cell r="G378">
            <v>317583</v>
          </cell>
          <cell r="H378">
            <v>0</v>
          </cell>
          <cell r="I378" t="str">
            <v>01.009.001.001 - Bancada Granito A Definir</v>
          </cell>
          <cell r="J378" t="str">
            <v>3 - CUSTOS DIRETOS</v>
          </cell>
          <cell r="K378" t="str">
            <v>3 - CUSTOS DIRETOS1.009.001.001</v>
          </cell>
          <cell r="L378">
            <v>317583</v>
          </cell>
          <cell r="N378">
            <v>85880.4</v>
          </cell>
          <cell r="O378">
            <v>33550</v>
          </cell>
          <cell r="P378">
            <v>65601.460000000006</v>
          </cell>
          <cell r="Q378">
            <v>0</v>
          </cell>
          <cell r="R378">
            <v>185031.86</v>
          </cell>
          <cell r="T378">
            <v>132551.14000000001</v>
          </cell>
          <cell r="U378">
            <v>317583</v>
          </cell>
          <cell r="V378">
            <v>0</v>
          </cell>
        </row>
        <row r="379">
          <cell r="D379" t="str">
            <v>Assentamento De Bancadas</v>
          </cell>
          <cell r="E379">
            <v>376</v>
          </cell>
          <cell r="F379" t="str">
            <v>vb</v>
          </cell>
          <cell r="G379">
            <v>52640</v>
          </cell>
          <cell r="H379">
            <v>0</v>
          </cell>
          <cell r="I379" t="str">
            <v>01.009.001.002 - Assentamento De Bancadas</v>
          </cell>
          <cell r="J379" t="str">
            <v>3 - CUSTOS DIRETOS</v>
          </cell>
          <cell r="K379" t="str">
            <v>3 - CUSTOS DIRETOS1.009.001.002</v>
          </cell>
          <cell r="L379">
            <v>52640</v>
          </cell>
          <cell r="N379">
            <v>20719.78</v>
          </cell>
          <cell r="O379">
            <v>960</v>
          </cell>
          <cell r="P379">
            <v>40880</v>
          </cell>
          <cell r="Q379">
            <v>3972.86</v>
          </cell>
          <cell r="R379">
            <v>66532.639999999999</v>
          </cell>
          <cell r="T379">
            <v>0</v>
          </cell>
          <cell r="U379">
            <v>66532.639999999999</v>
          </cell>
          <cell r="V379">
            <v>-13892.64</v>
          </cell>
        </row>
        <row r="380">
          <cell r="D380" t="str">
            <v>Proteção Para Bancadas</v>
          </cell>
          <cell r="E380">
            <v>391.58</v>
          </cell>
          <cell r="F380" t="str">
            <v>vb</v>
          </cell>
          <cell r="G380">
            <v>3265.78</v>
          </cell>
          <cell r="H380">
            <v>0</v>
          </cell>
          <cell r="I380" t="str">
            <v>01.009.001.003 - Proteção Para Bancadas</v>
          </cell>
          <cell r="J380" t="str">
            <v>3 - CUSTOS DIRETOS</v>
          </cell>
          <cell r="K380" t="str">
            <v>3 - CUSTOS DIRETOS1.009.001.003</v>
          </cell>
          <cell r="L380">
            <v>3265.78</v>
          </cell>
          <cell r="N380">
            <v>424.12</v>
          </cell>
          <cell r="O380">
            <v>0</v>
          </cell>
          <cell r="P380">
            <v>0</v>
          </cell>
          <cell r="Q380">
            <v>0</v>
          </cell>
          <cell r="R380">
            <v>424.12</v>
          </cell>
          <cell r="T380">
            <v>2841.6600000000003</v>
          </cell>
          <cell r="U380">
            <v>3265.78</v>
          </cell>
          <cell r="V380">
            <v>0</v>
          </cell>
        </row>
        <row r="381">
          <cell r="D381" t="str">
            <v>SOLEIRAS</v>
          </cell>
          <cell r="I381" t="str">
            <v>01.009.002 - SOLEIRAS</v>
          </cell>
          <cell r="J381" t="str">
            <v>3 - CUSTOS DIRETOS</v>
          </cell>
          <cell r="K381" t="str">
            <v>3 - CUSTOS DIRETOS1.009.002</v>
          </cell>
          <cell r="L381">
            <v>55583.040000000001</v>
          </cell>
          <cell r="N381">
            <v>30693</v>
          </cell>
          <cell r="O381">
            <v>0</v>
          </cell>
          <cell r="P381">
            <v>54150.44</v>
          </cell>
          <cell r="Q381">
            <v>0</v>
          </cell>
          <cell r="R381">
            <v>84843.44</v>
          </cell>
          <cell r="T381">
            <v>0</v>
          </cell>
          <cell r="U381">
            <v>84843.44</v>
          </cell>
          <cell r="V381">
            <v>-29260.400000000001</v>
          </cell>
        </row>
        <row r="382">
          <cell r="D382" t="str">
            <v>Soleira Em Granito A Definir</v>
          </cell>
          <cell r="E382">
            <v>94.57</v>
          </cell>
          <cell r="F382" t="str">
            <v>vb</v>
          </cell>
          <cell r="G382">
            <v>55583.040000000001</v>
          </cell>
          <cell r="H382">
            <v>0</v>
          </cell>
          <cell r="I382" t="str">
            <v>01.009.002.001 - Soleira Em Granito A Definir</v>
          </cell>
          <cell r="J382" t="str">
            <v>3 - CUSTOS DIRETOS</v>
          </cell>
          <cell r="K382" t="str">
            <v>3 - CUSTOS DIRETOS1.009.002.001</v>
          </cell>
          <cell r="L382">
            <v>55583.040000000001</v>
          </cell>
          <cell r="N382">
            <v>30693</v>
          </cell>
          <cell r="O382">
            <v>0</v>
          </cell>
          <cell r="P382">
            <v>54150.44</v>
          </cell>
          <cell r="Q382">
            <v>0</v>
          </cell>
          <cell r="R382">
            <v>84843.44</v>
          </cell>
          <cell r="T382">
            <v>0</v>
          </cell>
          <cell r="U382">
            <v>84843.44</v>
          </cell>
          <cell r="V382">
            <v>-29260.400000000001</v>
          </cell>
        </row>
        <row r="383">
          <cell r="D383" t="str">
            <v>PEITORIS</v>
          </cell>
          <cell r="I383" t="str">
            <v>01.009.003 - PEITORIS</v>
          </cell>
          <cell r="J383" t="str">
            <v>3 - CUSTOS DIRETOS</v>
          </cell>
          <cell r="K383" t="str">
            <v>3 - CUSTOS DIRETOS1.009.003</v>
          </cell>
          <cell r="L383">
            <v>103361.16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T383">
            <v>103361.16</v>
          </cell>
          <cell r="U383">
            <v>103361.16</v>
          </cell>
          <cell r="V383">
            <v>0</v>
          </cell>
        </row>
        <row r="384">
          <cell r="D384" t="str">
            <v>Peitoril Em Granito A Definir</v>
          </cell>
          <cell r="E384">
            <v>193.11</v>
          </cell>
          <cell r="F384" t="str">
            <v>vb</v>
          </cell>
          <cell r="G384">
            <v>103361.16</v>
          </cell>
          <cell r="H384">
            <v>0</v>
          </cell>
          <cell r="I384" t="str">
            <v>01.009.003.001 - Peitoril Em Granito A Definir</v>
          </cell>
          <cell r="J384" t="str">
            <v>3 - CUSTOS DIRETOS</v>
          </cell>
          <cell r="K384" t="str">
            <v>3 - CUSTOS DIRETOS1.009.003.001</v>
          </cell>
          <cell r="L384">
            <v>103361.16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T384">
            <v>103361.16</v>
          </cell>
          <cell r="U384">
            <v>103361.16</v>
          </cell>
          <cell r="V384">
            <v>0</v>
          </cell>
        </row>
        <row r="385">
          <cell r="D385" t="str">
            <v>ALVENARIA DE VEDAÇÃO</v>
          </cell>
          <cell r="I385" t="str">
            <v>01.010 - ALVENARIA DE VEDAÇÃO</v>
          </cell>
          <cell r="J385" t="str">
            <v>3 - CUSTOS DIRETOS</v>
          </cell>
          <cell r="K385" t="str">
            <v>3 - CUSTOS DIRETOS1.010</v>
          </cell>
          <cell r="L385">
            <v>622914.20999999985</v>
          </cell>
          <cell r="N385">
            <v>372223.73</v>
          </cell>
          <cell r="O385">
            <v>9862.24</v>
          </cell>
          <cell r="P385">
            <v>14396.32</v>
          </cell>
          <cell r="Q385">
            <v>0</v>
          </cell>
          <cell r="R385">
            <v>396482.29</v>
          </cell>
          <cell r="T385">
            <v>137067.35999999999</v>
          </cell>
          <cell r="U385">
            <v>533549.64999999991</v>
          </cell>
          <cell r="V385">
            <v>89364.559999999939</v>
          </cell>
        </row>
        <row r="386">
          <cell r="D386" t="str">
            <v>BLOCO CERÂMICO 19CM X19CM X29CM</v>
          </cell>
          <cell r="I386" t="str">
            <v>01.010.001 - BLOCO CERÂMICO 19CM X19CM X29CM</v>
          </cell>
          <cell r="J386" t="str">
            <v>3 - CUSTOS DIRETOS</v>
          </cell>
          <cell r="K386" t="str">
            <v>3 - CUSTOS DIRETOS1.010.001</v>
          </cell>
          <cell r="L386">
            <v>88584.17</v>
          </cell>
          <cell r="N386">
            <v>68074.579999999987</v>
          </cell>
          <cell r="O386">
            <v>7429.95</v>
          </cell>
          <cell r="P386">
            <v>14396.32</v>
          </cell>
          <cell r="Q386">
            <v>0</v>
          </cell>
          <cell r="R386">
            <v>89900.849999999977</v>
          </cell>
          <cell r="T386">
            <v>15036.55000000001</v>
          </cell>
          <cell r="U386">
            <v>104937.4</v>
          </cell>
          <cell r="V386">
            <v>-16353.229999999996</v>
          </cell>
        </row>
        <row r="387">
          <cell r="D387" t="str">
            <v>Bloco Cerâmico 19Cm X19Cm X29Cm - Subsolo</v>
          </cell>
          <cell r="E387">
            <v>136.54</v>
          </cell>
          <cell r="F387" t="str">
            <v>vb</v>
          </cell>
          <cell r="G387">
            <v>11175.95</v>
          </cell>
          <cell r="H387">
            <v>0</v>
          </cell>
          <cell r="I387" t="str">
            <v>01.010.001.001 - Bloco Cerâmico 19Cm X19Cm X29Cm - Subsolo</v>
          </cell>
          <cell r="J387" t="str">
            <v>3 - CUSTOS DIRETOS</v>
          </cell>
          <cell r="K387" t="str">
            <v>3 - CUSTOS DIRETOS1.010.001.001</v>
          </cell>
          <cell r="L387">
            <v>11175.95</v>
          </cell>
          <cell r="N387">
            <v>27529.18</v>
          </cell>
          <cell r="O387">
            <v>0</v>
          </cell>
          <cell r="P387">
            <v>0</v>
          </cell>
          <cell r="Q387">
            <v>0</v>
          </cell>
          <cell r="R387">
            <v>27529.18</v>
          </cell>
          <cell r="T387">
            <v>0</v>
          </cell>
          <cell r="U387">
            <v>27529.18</v>
          </cell>
          <cell r="V387">
            <v>-16353.23</v>
          </cell>
        </row>
        <row r="388">
          <cell r="D388" t="str">
            <v>Bloco Cerâmico 19Cm X19Cm X29Cm - Térreo</v>
          </cell>
          <cell r="E388">
            <v>945.72</v>
          </cell>
          <cell r="F388" t="str">
            <v>vb</v>
          </cell>
          <cell r="G388">
            <v>77408.22</v>
          </cell>
          <cell r="H388">
            <v>0</v>
          </cell>
          <cell r="I388" t="str">
            <v>01.010.001.002 - Bloco Cerâmico 19Cm X19Cm X29Cm - Térreo</v>
          </cell>
          <cell r="J388" t="str">
            <v>3 - CUSTOS DIRETOS</v>
          </cell>
          <cell r="K388" t="str">
            <v>3 - CUSTOS DIRETOS1.010.001.002</v>
          </cell>
          <cell r="L388">
            <v>77408.22</v>
          </cell>
          <cell r="N388">
            <v>40545.399999999994</v>
          </cell>
          <cell r="O388">
            <v>7429.95</v>
          </cell>
          <cell r="P388">
            <v>14396.32</v>
          </cell>
          <cell r="Q388">
            <v>0</v>
          </cell>
          <cell r="R388">
            <v>62371.669999999991</v>
          </cell>
          <cell r="T388">
            <v>15036.55000000001</v>
          </cell>
          <cell r="U388">
            <v>77408.22</v>
          </cell>
          <cell r="V388">
            <v>0</v>
          </cell>
        </row>
        <row r="389">
          <cell r="D389" t="str">
            <v>Bloco Cerâmico 19Cm X19Cm X29Cm - 1º Pav. Tipo</v>
          </cell>
          <cell r="E389">
            <v>0</v>
          </cell>
          <cell r="F389" t="str">
            <v>vb</v>
          </cell>
          <cell r="G389">
            <v>0</v>
          </cell>
          <cell r="H389">
            <v>0</v>
          </cell>
          <cell r="I389" t="str">
            <v>01.010.001.003 - Bloco Cerâmico 19Cm X19Cm X29Cm - 1º Pav. Tipo</v>
          </cell>
          <cell r="J389" t="str">
            <v>3 - CUSTOS DIRETOS</v>
          </cell>
          <cell r="K389" t="str">
            <v>3 - CUSTOS DIRETOS1.010.001.003</v>
          </cell>
          <cell r="L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D390" t="str">
            <v>Bloco Cerâmico 19Cm X19Cm X29Cm - 2º Pav. Tipo</v>
          </cell>
          <cell r="E390">
            <v>0</v>
          </cell>
          <cell r="F390" t="str">
            <v>vb</v>
          </cell>
          <cell r="G390">
            <v>0</v>
          </cell>
          <cell r="H390">
            <v>0</v>
          </cell>
          <cell r="I390" t="str">
            <v>01.010.001.004 - Bloco Cerâmico 19Cm X19Cm X29Cm - 2º Pav. Tipo</v>
          </cell>
          <cell r="J390" t="str">
            <v>3 - CUSTOS DIRETOS</v>
          </cell>
          <cell r="K390" t="str">
            <v>3 - CUSTOS DIRETOS1.010.001.004</v>
          </cell>
          <cell r="L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D391" t="str">
            <v>Bloco Cerâmico 19Cm X19Cm X29Cm - 3º Pav. Tipo</v>
          </cell>
          <cell r="E391">
            <v>0</v>
          </cell>
          <cell r="F391" t="str">
            <v>vb</v>
          </cell>
          <cell r="G391">
            <v>0</v>
          </cell>
          <cell r="H391">
            <v>0</v>
          </cell>
          <cell r="I391" t="str">
            <v>01.010.001.005 - Bloco Cerâmico 19Cm X19Cm X29Cm - 3º Pav. Tipo</v>
          </cell>
          <cell r="J391" t="str">
            <v>3 - CUSTOS DIRETOS</v>
          </cell>
          <cell r="K391" t="str">
            <v>3 - CUSTOS DIRETOS1.010.001.005</v>
          </cell>
          <cell r="L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D392" t="str">
            <v>Bloco Cerâmico 19Cm X19Cm X29Cm - 4º Pav. Tipo</v>
          </cell>
          <cell r="E392">
            <v>0</v>
          </cell>
          <cell r="F392" t="str">
            <v>vb</v>
          </cell>
          <cell r="G392">
            <v>0</v>
          </cell>
          <cell r="H392">
            <v>0</v>
          </cell>
          <cell r="I392" t="str">
            <v>01.010.001.006 - Bloco Cerâmico 19Cm X19Cm X29Cm - 4º Pav. Tipo</v>
          </cell>
          <cell r="J392" t="str">
            <v>3 - CUSTOS DIRETOS</v>
          </cell>
          <cell r="K392" t="str">
            <v>3 - CUSTOS DIRETOS1.010.001.006</v>
          </cell>
          <cell r="L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D393" t="str">
            <v>Bloco Cerâmico 19Cm X19Cm X29Cm - 5º Pav. Tipo</v>
          </cell>
          <cell r="E393">
            <v>0</v>
          </cell>
          <cell r="F393" t="str">
            <v>vb</v>
          </cell>
          <cell r="G393">
            <v>0</v>
          </cell>
          <cell r="H393">
            <v>0</v>
          </cell>
          <cell r="I393" t="str">
            <v>01.010.001.007 - Bloco Cerâmico 19Cm X19Cm X29Cm - 5º Pav. Tipo</v>
          </cell>
          <cell r="J393" t="str">
            <v>3 - CUSTOS DIRETOS</v>
          </cell>
          <cell r="K393" t="str">
            <v>3 - CUSTOS DIRETOS1.010.001.007</v>
          </cell>
          <cell r="L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D394" t="str">
            <v>Bloco Cerâmico 19Cm X19Cm X29Cm - 6º Pav. Tipo</v>
          </cell>
          <cell r="E394">
            <v>0</v>
          </cell>
          <cell r="F394" t="str">
            <v>vb</v>
          </cell>
          <cell r="G394">
            <v>0</v>
          </cell>
          <cell r="H394">
            <v>0</v>
          </cell>
          <cell r="I394" t="str">
            <v>01.010.001.008 - Bloco Cerâmico 19Cm X19Cm X29Cm - 6º Pav. Tipo</v>
          </cell>
          <cell r="J394" t="str">
            <v>3 - CUSTOS DIRETOS</v>
          </cell>
          <cell r="K394" t="str">
            <v>3 - CUSTOS DIRETOS1.010.001.008</v>
          </cell>
          <cell r="L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D395" t="str">
            <v>Bloco Cerâmico 19Cm X19Cm X29Cm - 7º Pav. Tipo</v>
          </cell>
          <cell r="E395">
            <v>0</v>
          </cell>
          <cell r="F395" t="str">
            <v>vb</v>
          </cell>
          <cell r="G395">
            <v>0</v>
          </cell>
          <cell r="H395">
            <v>0</v>
          </cell>
          <cell r="I395" t="str">
            <v>01.010.001.009 - Bloco Cerâmico 19Cm X19Cm X29Cm - 7º Pav. Tipo</v>
          </cell>
          <cell r="J395" t="str">
            <v>3 - CUSTOS DIRETOS</v>
          </cell>
          <cell r="K395" t="str">
            <v>3 - CUSTOS DIRETOS1.010.001.009</v>
          </cell>
          <cell r="L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D396" t="str">
            <v>Bloco Cerâmico 19Cm X19Cm X29Cm - 8º Pav. Tipo</v>
          </cell>
          <cell r="E396">
            <v>0</v>
          </cell>
          <cell r="F396" t="str">
            <v>vb</v>
          </cell>
          <cell r="G396">
            <v>0</v>
          </cell>
          <cell r="H396">
            <v>0</v>
          </cell>
          <cell r="I396" t="str">
            <v>01.010.001.010 - Bloco Cerâmico 19Cm X19Cm X29Cm - 8º Pav. Tipo</v>
          </cell>
          <cell r="J396" t="str">
            <v>3 - CUSTOS DIRETOS</v>
          </cell>
          <cell r="K396" t="str">
            <v>3 - CUSTOS DIRETOS1.010.001.010</v>
          </cell>
          <cell r="L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D397" t="str">
            <v>Bloco Cerâmico 19Cm X19Cm X29Cm - 9º Pav. Tipo</v>
          </cell>
          <cell r="E397">
            <v>0</v>
          </cell>
          <cell r="F397" t="str">
            <v>vb</v>
          </cell>
          <cell r="G397">
            <v>0</v>
          </cell>
          <cell r="H397">
            <v>0</v>
          </cell>
          <cell r="I397" t="str">
            <v>01.010.001.011 - Bloco Cerâmico 19Cm X19Cm X29Cm - 9º Pav. Tipo</v>
          </cell>
          <cell r="J397" t="str">
            <v>3 - CUSTOS DIRETOS</v>
          </cell>
          <cell r="K397" t="str">
            <v>3 - CUSTOS DIRETOS1.010.001.011</v>
          </cell>
          <cell r="L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D398" t="str">
            <v>Bloco Cerâmico 19Cm X19Cm X29Cm - 10º Pav. Tipo</v>
          </cell>
          <cell r="E398">
            <v>0</v>
          </cell>
          <cell r="F398" t="str">
            <v>vb</v>
          </cell>
          <cell r="G398">
            <v>0</v>
          </cell>
          <cell r="H398">
            <v>0</v>
          </cell>
          <cell r="I398" t="str">
            <v>01.010.001.012 - Bloco Cerâmico 19Cm X19Cm X29Cm - 10º Pav. Tipo</v>
          </cell>
          <cell r="J398" t="str">
            <v>3 - CUSTOS DIRETOS</v>
          </cell>
          <cell r="K398" t="str">
            <v>3 - CUSTOS DIRETOS1.010.001.012</v>
          </cell>
          <cell r="L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D399" t="str">
            <v>Bloco Cerâmico 19Cm X19Cm X29Cm - 11º Pav. Tipo</v>
          </cell>
          <cell r="E399">
            <v>0</v>
          </cell>
          <cell r="F399" t="str">
            <v>vb</v>
          </cell>
          <cell r="G399">
            <v>0</v>
          </cell>
          <cell r="H399">
            <v>0</v>
          </cell>
          <cell r="I399" t="str">
            <v>01.010.001.013 - Bloco Cerâmico 19Cm X19Cm X29Cm - 11º Pav. Tipo</v>
          </cell>
          <cell r="J399" t="str">
            <v>3 - CUSTOS DIRETOS</v>
          </cell>
          <cell r="K399" t="str">
            <v>3 - CUSTOS DIRETOS1.010.001.013</v>
          </cell>
          <cell r="L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D400" t="str">
            <v>Bloco Cerâmico 19Cm X19Cm X29Cm - 12º Pav. Tipo</v>
          </cell>
          <cell r="E400">
            <v>0</v>
          </cell>
          <cell r="F400" t="str">
            <v>vb</v>
          </cell>
          <cell r="G400">
            <v>0</v>
          </cell>
          <cell r="H400">
            <v>0</v>
          </cell>
          <cell r="I400" t="str">
            <v>01.010.001.014 - Bloco Cerâmico 19Cm X19Cm X29Cm - 12º Pav. Tipo</v>
          </cell>
          <cell r="J400" t="str">
            <v>3 - CUSTOS DIRETOS</v>
          </cell>
          <cell r="K400" t="str">
            <v>3 - CUSTOS DIRETOS1.010.001.014</v>
          </cell>
          <cell r="L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D401" t="str">
            <v>Bloco Cerâmico 19Cm X19Cm X29Cm - 13º Pav. Tipo</v>
          </cell>
          <cell r="E401">
            <v>0</v>
          </cell>
          <cell r="F401" t="str">
            <v>vb</v>
          </cell>
          <cell r="G401">
            <v>0</v>
          </cell>
          <cell r="H401">
            <v>0</v>
          </cell>
          <cell r="I401" t="str">
            <v>01.010.001.015 - Bloco Cerâmico 19Cm X19Cm X29Cm - 13º Pav. Tipo</v>
          </cell>
          <cell r="J401" t="str">
            <v>3 - CUSTOS DIRETOS</v>
          </cell>
          <cell r="K401" t="str">
            <v>3 - CUSTOS DIRETOS1.010.001.015</v>
          </cell>
          <cell r="L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D402" t="str">
            <v>Bloco Cerâmico 19Cm X19Cm X29Cm - 14º Pav. Tipo</v>
          </cell>
          <cell r="E402">
            <v>0</v>
          </cell>
          <cell r="F402" t="str">
            <v>vb</v>
          </cell>
          <cell r="G402">
            <v>0</v>
          </cell>
          <cell r="H402">
            <v>0</v>
          </cell>
          <cell r="I402" t="str">
            <v>01.010.001.016 - Bloco Cerâmico 19Cm X19Cm X29Cm - 14º Pav. Tipo</v>
          </cell>
          <cell r="J402" t="str">
            <v>3 - CUSTOS DIRETOS</v>
          </cell>
          <cell r="K402" t="str">
            <v>3 - CUSTOS DIRETOS1.010.001.016</v>
          </cell>
          <cell r="L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T402">
            <v>0</v>
          </cell>
          <cell r="U402">
            <v>0</v>
          </cell>
          <cell r="V402">
            <v>0</v>
          </cell>
        </row>
        <row r="403">
          <cell r="D403" t="str">
            <v>Bloco Cerâmico 19Cm X19Cm X29Cm - 15º Pav. Tipo</v>
          </cell>
          <cell r="E403">
            <v>0</v>
          </cell>
          <cell r="F403" t="str">
            <v>vb</v>
          </cell>
          <cell r="G403">
            <v>0</v>
          </cell>
          <cell r="H403">
            <v>0</v>
          </cell>
          <cell r="I403" t="str">
            <v>01.010.001.017 - Bloco Cerâmico 19Cm X19Cm X29Cm - 15º Pav. Tipo</v>
          </cell>
          <cell r="J403" t="str">
            <v>3 - CUSTOS DIRETOS</v>
          </cell>
          <cell r="K403" t="str">
            <v>3 - CUSTOS DIRETOS1.010.001.017</v>
          </cell>
          <cell r="L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T403">
            <v>0</v>
          </cell>
          <cell r="U403">
            <v>0</v>
          </cell>
          <cell r="V403">
            <v>0</v>
          </cell>
        </row>
        <row r="404">
          <cell r="D404" t="str">
            <v>Bloco Cerâmico 19Cm X19Cm X29Cm - Cobertura</v>
          </cell>
          <cell r="E404">
            <v>0</v>
          </cell>
          <cell r="F404" t="str">
            <v>vb</v>
          </cell>
          <cell r="G404">
            <v>0</v>
          </cell>
          <cell r="H404">
            <v>0</v>
          </cell>
          <cell r="I404" t="str">
            <v>01.010.001.018 - Bloco Cerâmico 19Cm X19Cm X29Cm - Cobertura</v>
          </cell>
          <cell r="J404" t="str">
            <v>3 - CUSTOS DIRETOS</v>
          </cell>
          <cell r="K404" t="str">
            <v>3 - CUSTOS DIRETOS1.010.001.018</v>
          </cell>
          <cell r="L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T404">
            <v>0</v>
          </cell>
          <cell r="U404">
            <v>0</v>
          </cell>
          <cell r="V404">
            <v>0</v>
          </cell>
        </row>
        <row r="405">
          <cell r="D405" t="str">
            <v xml:space="preserve">BLOCO CERÂMICO 14 CM X19CM X29CM </v>
          </cell>
          <cell r="I405" t="str">
            <v xml:space="preserve">01.010.002 - BLOCO CERÂMICO 14 CM X19CM X29CM </v>
          </cell>
          <cell r="J405" t="str">
            <v>3 - CUSTOS DIRETOS</v>
          </cell>
          <cell r="K405" t="str">
            <v>3 - CUSTOS DIRETOS1.010.002</v>
          </cell>
          <cell r="L405">
            <v>15838.17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T405">
            <v>0</v>
          </cell>
          <cell r="U405">
            <v>0</v>
          </cell>
          <cell r="V405">
            <v>15838.17</v>
          </cell>
        </row>
        <row r="406">
          <cell r="D406" t="str">
            <v>Bloco Cerâmico 14 Cm X19Cm X29Cm  - Subsolo</v>
          </cell>
          <cell r="E406">
            <v>0</v>
          </cell>
          <cell r="F406" t="str">
            <v>vb</v>
          </cell>
          <cell r="G406">
            <v>0</v>
          </cell>
          <cell r="H406">
            <v>0</v>
          </cell>
          <cell r="I406" t="str">
            <v>01.010.002.001 - Bloco Cerâmico 14 Cm X19Cm X29Cm  - Subsolo</v>
          </cell>
          <cell r="J406" t="str">
            <v>3 - CUSTOS DIRETOS</v>
          </cell>
          <cell r="K406" t="str">
            <v>3 - CUSTOS DIRETOS1.010.002.001</v>
          </cell>
          <cell r="L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D407" t="str">
            <v>Bloco Cerâmico 14 Cm X19Cm X29Cm  - Térreo</v>
          </cell>
          <cell r="E407">
            <v>0</v>
          </cell>
          <cell r="F407" t="str">
            <v>vb</v>
          </cell>
          <cell r="G407">
            <v>0</v>
          </cell>
          <cell r="H407">
            <v>0</v>
          </cell>
          <cell r="I407" t="str">
            <v>01.010.002.002 - Bloco Cerâmico 14 Cm X19Cm X29Cm  - Térreo</v>
          </cell>
          <cell r="J407" t="str">
            <v>3 - CUSTOS DIRETOS</v>
          </cell>
          <cell r="K407" t="str">
            <v>3 - CUSTOS DIRETOS1.010.002.002</v>
          </cell>
          <cell r="L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D408" t="str">
            <v>Bloco Cerâmico 14 Cm X19Cm X29Cm  - 1º Pav. Tipo</v>
          </cell>
          <cell r="E408">
            <v>0</v>
          </cell>
          <cell r="F408" t="str">
            <v>vb</v>
          </cell>
          <cell r="G408">
            <v>0</v>
          </cell>
          <cell r="H408">
            <v>0</v>
          </cell>
          <cell r="I408" t="str">
            <v>01.010.002.003 - Bloco Cerâmico 14 Cm X19Cm X29Cm  - 1º Pav. Tipo</v>
          </cell>
          <cell r="J408" t="str">
            <v>3 - CUSTOS DIRETOS</v>
          </cell>
          <cell r="K408" t="str">
            <v>3 - CUSTOS DIRETOS1.010.002.003</v>
          </cell>
          <cell r="L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T408">
            <v>0</v>
          </cell>
          <cell r="U408">
            <v>0</v>
          </cell>
          <cell r="V408">
            <v>0</v>
          </cell>
        </row>
        <row r="409">
          <cell r="D409" t="str">
            <v>Bloco Cerâmico 14 Cm X19Cm X29Cm  - 2º Pav. Tipo</v>
          </cell>
          <cell r="E409">
            <v>0</v>
          </cell>
          <cell r="F409" t="str">
            <v>vb</v>
          </cell>
          <cell r="G409">
            <v>0</v>
          </cell>
          <cell r="H409">
            <v>0</v>
          </cell>
          <cell r="I409" t="str">
            <v>01.010.002.004 - Bloco Cerâmico 14 Cm X19Cm X29Cm  - 2º Pav. Tipo</v>
          </cell>
          <cell r="J409" t="str">
            <v>3 - CUSTOS DIRETOS</v>
          </cell>
          <cell r="K409" t="str">
            <v>3 - CUSTOS DIRETOS1.010.002.004</v>
          </cell>
          <cell r="L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D410" t="str">
            <v>Bloco Cerâmico 14 Cm X19Cm X29Cm  - 3º Pav. Tipo</v>
          </cell>
          <cell r="E410">
            <v>0</v>
          </cell>
          <cell r="F410" t="str">
            <v>vb</v>
          </cell>
          <cell r="G410">
            <v>0</v>
          </cell>
          <cell r="H410">
            <v>0</v>
          </cell>
          <cell r="I410" t="str">
            <v>01.010.002.005 - Bloco Cerâmico 14 Cm X19Cm X29Cm  - 3º Pav. Tipo</v>
          </cell>
          <cell r="J410" t="str">
            <v>3 - CUSTOS DIRETOS</v>
          </cell>
          <cell r="K410" t="str">
            <v>3 - CUSTOS DIRETOS1.010.002.005</v>
          </cell>
          <cell r="L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D411" t="str">
            <v>Bloco Cerâmico 14 Cm X19Cm X29Cm  - 4º Pav. Tipo</v>
          </cell>
          <cell r="E411">
            <v>0</v>
          </cell>
          <cell r="F411" t="str">
            <v>vb</v>
          </cell>
          <cell r="G411">
            <v>0</v>
          </cell>
          <cell r="H411">
            <v>0</v>
          </cell>
          <cell r="I411" t="str">
            <v>01.010.002.006 - Bloco Cerâmico 14 Cm X19Cm X29Cm  - 4º Pav. Tipo</v>
          </cell>
          <cell r="J411" t="str">
            <v>3 - CUSTOS DIRETOS</v>
          </cell>
          <cell r="K411" t="str">
            <v>3 - CUSTOS DIRETOS1.010.002.006</v>
          </cell>
          <cell r="L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D412" t="str">
            <v>Bloco Cerâmico 14 Cm X19Cm X29Cm  - 5º Pav. Tipo</v>
          </cell>
          <cell r="E412">
            <v>0</v>
          </cell>
          <cell r="F412" t="str">
            <v>vb</v>
          </cell>
          <cell r="G412">
            <v>0</v>
          </cell>
          <cell r="H412">
            <v>0</v>
          </cell>
          <cell r="I412" t="str">
            <v>01.010.002.007 - Bloco Cerâmico 14 Cm X19Cm X29Cm  - 5º Pav. Tipo</v>
          </cell>
          <cell r="J412" t="str">
            <v>3 - CUSTOS DIRETOS</v>
          </cell>
          <cell r="K412" t="str">
            <v>3 - CUSTOS DIRETOS1.010.002.007</v>
          </cell>
          <cell r="L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D413" t="str">
            <v>Bloco Cerâmico 14 Cm X19Cm X29Cm  - 6º Pav. Tipo</v>
          </cell>
          <cell r="E413">
            <v>0</v>
          </cell>
          <cell r="F413" t="str">
            <v>vb</v>
          </cell>
          <cell r="G413">
            <v>0</v>
          </cell>
          <cell r="H413">
            <v>0</v>
          </cell>
          <cell r="I413" t="str">
            <v>01.010.002.008 - Bloco Cerâmico 14 Cm X19Cm X29Cm  - 6º Pav. Tipo</v>
          </cell>
          <cell r="J413" t="str">
            <v>3 - CUSTOS DIRETOS</v>
          </cell>
          <cell r="K413" t="str">
            <v>3 - CUSTOS DIRETOS1.010.002.008</v>
          </cell>
          <cell r="L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D414" t="str">
            <v>Bloco Cerâmico 14 Cm X19Cm X29Cm  - 7º Pav. Tipo</v>
          </cell>
          <cell r="E414">
            <v>0</v>
          </cell>
          <cell r="F414" t="str">
            <v>vb</v>
          </cell>
          <cell r="G414">
            <v>0</v>
          </cell>
          <cell r="H414">
            <v>0</v>
          </cell>
          <cell r="I414" t="str">
            <v>01.010.002.009 - Bloco Cerâmico 14 Cm X19Cm X29Cm  - 7º Pav. Tipo</v>
          </cell>
          <cell r="J414" t="str">
            <v>3 - CUSTOS DIRETOS</v>
          </cell>
          <cell r="K414" t="str">
            <v>3 - CUSTOS DIRETOS1.010.002.009</v>
          </cell>
          <cell r="L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D415" t="str">
            <v>Bloco Cerâmico 14 Cm X19Cm X29Cm  - 8º Pav. Tipo</v>
          </cell>
          <cell r="E415">
            <v>0</v>
          </cell>
          <cell r="F415" t="str">
            <v>vb</v>
          </cell>
          <cell r="G415">
            <v>0</v>
          </cell>
          <cell r="H415">
            <v>0</v>
          </cell>
          <cell r="I415" t="str">
            <v>01.010.002.010 - Bloco Cerâmico 14 Cm X19Cm X29Cm  - 8º Pav. Tipo</v>
          </cell>
          <cell r="J415" t="str">
            <v>3 - CUSTOS DIRETOS</v>
          </cell>
          <cell r="K415" t="str">
            <v>3 - CUSTOS DIRETOS1.010.002.010</v>
          </cell>
          <cell r="L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D416" t="str">
            <v>Bloco Cerâmico 14 Cm X19Cm X29Cm  - 9º Pav. Tipo</v>
          </cell>
          <cell r="E416">
            <v>0</v>
          </cell>
          <cell r="F416" t="str">
            <v>vb</v>
          </cell>
          <cell r="G416">
            <v>0</v>
          </cell>
          <cell r="H416">
            <v>0</v>
          </cell>
          <cell r="I416" t="str">
            <v>01.010.002.011 - Bloco Cerâmico 14 Cm X19Cm X29Cm  - 9º Pav. Tipo</v>
          </cell>
          <cell r="J416" t="str">
            <v>3 - CUSTOS DIRETOS</v>
          </cell>
          <cell r="K416" t="str">
            <v>3 - CUSTOS DIRETOS1.010.002.011</v>
          </cell>
          <cell r="L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D417" t="str">
            <v>Bloco Cerâmico 14 Cm X19Cm X29Cm  - 10º Pav. Tipo</v>
          </cell>
          <cell r="E417">
            <v>0</v>
          </cell>
          <cell r="F417" t="str">
            <v>vb</v>
          </cell>
          <cell r="G417">
            <v>0</v>
          </cell>
          <cell r="H417">
            <v>0</v>
          </cell>
          <cell r="I417" t="str">
            <v>01.010.002.012 - Bloco Cerâmico 14 Cm X19Cm X29Cm  - 10º Pav. Tipo</v>
          </cell>
          <cell r="J417" t="str">
            <v>3 - CUSTOS DIRETOS</v>
          </cell>
          <cell r="K417" t="str">
            <v>3 - CUSTOS DIRETOS1.010.002.012</v>
          </cell>
          <cell r="L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D418" t="str">
            <v>Bloco Cerâmico 14 Cm X19Cm X29Cm  - 11º Pav. Tipo</v>
          </cell>
          <cell r="E418">
            <v>0</v>
          </cell>
          <cell r="F418" t="str">
            <v>vb</v>
          </cell>
          <cell r="G418">
            <v>0</v>
          </cell>
          <cell r="H418">
            <v>0</v>
          </cell>
          <cell r="I418" t="str">
            <v>01.010.002.013 - Bloco Cerâmico 14 Cm X19Cm X29Cm  - 11º Pav. Tipo</v>
          </cell>
          <cell r="J418" t="str">
            <v>3 - CUSTOS DIRETOS</v>
          </cell>
          <cell r="K418" t="str">
            <v>3 - CUSTOS DIRETOS1.010.002.013</v>
          </cell>
          <cell r="L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T418">
            <v>0</v>
          </cell>
          <cell r="U418">
            <v>0</v>
          </cell>
          <cell r="V418">
            <v>0</v>
          </cell>
        </row>
        <row r="419">
          <cell r="D419" t="str">
            <v>Bloco Cerâmico 14 Cm X19Cm X29Cm  - 12º Pav. Tipo</v>
          </cell>
          <cell r="E419">
            <v>0</v>
          </cell>
          <cell r="F419" t="str">
            <v>vb</v>
          </cell>
          <cell r="G419">
            <v>0</v>
          </cell>
          <cell r="H419">
            <v>0</v>
          </cell>
          <cell r="I419" t="str">
            <v>01.010.002.014 - Bloco Cerâmico 14 Cm X19Cm X29Cm  - 12º Pav. Tipo</v>
          </cell>
          <cell r="J419" t="str">
            <v>3 - CUSTOS DIRETOS</v>
          </cell>
          <cell r="K419" t="str">
            <v>3 - CUSTOS DIRETOS1.010.002.014</v>
          </cell>
          <cell r="L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T419">
            <v>0</v>
          </cell>
          <cell r="U419">
            <v>0</v>
          </cell>
          <cell r="V419">
            <v>0</v>
          </cell>
        </row>
        <row r="420">
          <cell r="D420" t="str">
            <v>Bloco Cerâmico 14 Cm X19Cm X29Cm  - 13º Pav. Tipo</v>
          </cell>
          <cell r="E420">
            <v>0</v>
          </cell>
          <cell r="F420" t="str">
            <v>vb</v>
          </cell>
          <cell r="G420">
            <v>0</v>
          </cell>
          <cell r="H420">
            <v>0</v>
          </cell>
          <cell r="I420" t="str">
            <v>01.010.002.015 - Bloco Cerâmico 14 Cm X19Cm X29Cm  - 13º Pav. Tipo</v>
          </cell>
          <cell r="J420" t="str">
            <v>3 - CUSTOS DIRETOS</v>
          </cell>
          <cell r="K420" t="str">
            <v>3 - CUSTOS DIRETOS1.010.002.015</v>
          </cell>
          <cell r="L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T420">
            <v>0</v>
          </cell>
          <cell r="U420">
            <v>0</v>
          </cell>
          <cell r="V420">
            <v>0</v>
          </cell>
        </row>
        <row r="421">
          <cell r="D421" t="str">
            <v>Bloco Cerâmico 14 Cm X19Cm X29Cm  - 14º Pav. Tipo</v>
          </cell>
          <cell r="E421">
            <v>0</v>
          </cell>
          <cell r="F421" t="str">
            <v>vb</v>
          </cell>
          <cell r="G421">
            <v>0</v>
          </cell>
          <cell r="H421">
            <v>0</v>
          </cell>
          <cell r="I421" t="str">
            <v>01.010.002.016 - Bloco Cerâmico 14 Cm X19Cm X29Cm  - 14º Pav. Tipo</v>
          </cell>
          <cell r="J421" t="str">
            <v>3 - CUSTOS DIRETOS</v>
          </cell>
          <cell r="K421" t="str">
            <v>3 - CUSTOS DIRETOS1.010.002.016</v>
          </cell>
          <cell r="L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T421">
            <v>0</v>
          </cell>
          <cell r="U421">
            <v>0</v>
          </cell>
          <cell r="V421">
            <v>0</v>
          </cell>
        </row>
        <row r="422">
          <cell r="D422" t="str">
            <v>Bloco Cerâmico 14 Cm X19Cm X29Cm  - 15º Pav. Tipo</v>
          </cell>
          <cell r="E422">
            <v>0</v>
          </cell>
          <cell r="F422" t="str">
            <v>vb</v>
          </cell>
          <cell r="G422">
            <v>0</v>
          </cell>
          <cell r="H422">
            <v>0</v>
          </cell>
          <cell r="I422" t="str">
            <v>01.010.002.017 - Bloco Cerâmico 14 Cm X19Cm X29Cm  - 15º Pav. Tipo</v>
          </cell>
          <cell r="J422" t="str">
            <v>3 - CUSTOS DIRETOS</v>
          </cell>
          <cell r="K422" t="str">
            <v>3 - CUSTOS DIRETOS1.010.002.017</v>
          </cell>
          <cell r="L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D423" t="str">
            <v>Bloco Cerâmico 14 Cm X19Cm X29Cm  - Cobertura</v>
          </cell>
          <cell r="E423">
            <v>234.11</v>
          </cell>
          <cell r="F423" t="str">
            <v>vb</v>
          </cell>
          <cell r="G423">
            <v>15838.17</v>
          </cell>
          <cell r="H423">
            <v>0</v>
          </cell>
          <cell r="I423" t="str">
            <v>01.010.002.018 - Bloco Cerâmico 14 Cm X19Cm X29Cm  - Cobertura</v>
          </cell>
          <cell r="J423" t="str">
            <v>3 - CUSTOS DIRETOS</v>
          </cell>
          <cell r="K423" t="str">
            <v>3 - CUSTOS DIRETOS1.010.002.018</v>
          </cell>
          <cell r="L423">
            <v>15838.17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T423">
            <v>0</v>
          </cell>
          <cell r="U423">
            <v>0</v>
          </cell>
          <cell r="V423">
            <v>15838.17</v>
          </cell>
        </row>
        <row r="424">
          <cell r="D424" t="str">
            <v>BLOCO CERÂMICO 11,5 CM X19CM X29CM</v>
          </cell>
          <cell r="I424" t="str">
            <v>01.010.003 - BLOCO CERÂMICO 11,5 CM X19CM X29CM</v>
          </cell>
          <cell r="J424" t="str">
            <v>3 - CUSTOS DIRETOS</v>
          </cell>
          <cell r="K424" t="str">
            <v>3 - CUSTOS DIRETOS1.010.003</v>
          </cell>
          <cell r="L424">
            <v>66210.17</v>
          </cell>
          <cell r="N424">
            <v>0</v>
          </cell>
          <cell r="O424">
            <v>2392.29</v>
          </cell>
          <cell r="P424">
            <v>0</v>
          </cell>
          <cell r="Q424">
            <v>0</v>
          </cell>
          <cell r="R424">
            <v>2392.29</v>
          </cell>
          <cell r="T424">
            <v>55464.68</v>
          </cell>
          <cell r="U424">
            <v>57856.97</v>
          </cell>
          <cell r="V424">
            <v>8353.1999999999971</v>
          </cell>
        </row>
        <row r="425">
          <cell r="D425" t="str">
            <v>Bloco Cerâmico 11,5 Cm X19Cm X29Cm - Subsolo</v>
          </cell>
          <cell r="E425">
            <v>136.54</v>
          </cell>
          <cell r="F425" t="str">
            <v>vb</v>
          </cell>
          <cell r="G425">
            <v>8353.2000000000007</v>
          </cell>
          <cell r="H425">
            <v>0</v>
          </cell>
          <cell r="I425" t="str">
            <v>01.010.003.001 - Bloco Cerâmico 11,5 Cm X19Cm X29Cm - Subsolo</v>
          </cell>
          <cell r="J425" t="str">
            <v>3 - CUSTOS DIRETOS</v>
          </cell>
          <cell r="K425" t="str">
            <v>3 - CUSTOS DIRETOS1.010.003.001</v>
          </cell>
          <cell r="L425">
            <v>8353.2000000000007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T425">
            <v>0</v>
          </cell>
          <cell r="U425">
            <v>0</v>
          </cell>
          <cell r="V425">
            <v>8353.2000000000007</v>
          </cell>
        </row>
        <row r="426">
          <cell r="D426" t="str">
            <v>Bloco Cerâmico 11,5 Cm X19Cm X29Cm - Térreo</v>
          </cell>
          <cell r="E426">
            <v>945.72</v>
          </cell>
          <cell r="F426" t="str">
            <v>vb</v>
          </cell>
          <cell r="G426">
            <v>57856.97</v>
          </cell>
          <cell r="H426">
            <v>0</v>
          </cell>
          <cell r="I426" t="str">
            <v>01.010.003.002 - Bloco Cerâmico 11,5 Cm X19Cm X29Cm - Térreo</v>
          </cell>
          <cell r="J426" t="str">
            <v>3 - CUSTOS DIRETOS</v>
          </cell>
          <cell r="K426" t="str">
            <v>3 - CUSTOS DIRETOS1.010.003.002</v>
          </cell>
          <cell r="L426">
            <v>57856.97</v>
          </cell>
          <cell r="N426">
            <v>0</v>
          </cell>
          <cell r="O426">
            <v>2392.29</v>
          </cell>
          <cell r="P426">
            <v>0</v>
          </cell>
          <cell r="Q426">
            <v>0</v>
          </cell>
          <cell r="R426">
            <v>2392.29</v>
          </cell>
          <cell r="T426">
            <v>55464.68</v>
          </cell>
          <cell r="U426">
            <v>57856.97</v>
          </cell>
          <cell r="V426">
            <v>0</v>
          </cell>
        </row>
        <row r="427">
          <cell r="D427" t="str">
            <v>Bloco Cerâmico 11,5 Cm X19Cm X29Cm - 1º Pav. Tipo</v>
          </cell>
          <cell r="E427">
            <v>0</v>
          </cell>
          <cell r="F427" t="str">
            <v>vb</v>
          </cell>
          <cell r="G427">
            <v>0</v>
          </cell>
          <cell r="H427">
            <v>0</v>
          </cell>
          <cell r="I427" t="str">
            <v>01.010.003.003 - Bloco Cerâmico 11,5 Cm X19Cm X29Cm - 1º Pav. Tipo</v>
          </cell>
          <cell r="J427" t="str">
            <v>3 - CUSTOS DIRETOS</v>
          </cell>
          <cell r="K427" t="str">
            <v>3 - CUSTOS DIRETOS1.010.003.003</v>
          </cell>
          <cell r="L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D428" t="str">
            <v>Bloco Cerâmico 11,5 Cm X19Cm X29Cm - 2º Pav. Tipo</v>
          </cell>
          <cell r="E428">
            <v>0</v>
          </cell>
          <cell r="F428" t="str">
            <v>vb</v>
          </cell>
          <cell r="G428">
            <v>0</v>
          </cell>
          <cell r="H428">
            <v>0</v>
          </cell>
          <cell r="I428" t="str">
            <v>01.010.003.004 - Bloco Cerâmico 11,5 Cm X19Cm X29Cm - 2º Pav. Tipo</v>
          </cell>
          <cell r="J428" t="str">
            <v>3 - CUSTOS DIRETOS</v>
          </cell>
          <cell r="K428" t="str">
            <v>3 - CUSTOS DIRETOS1.010.003.004</v>
          </cell>
          <cell r="L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T428">
            <v>0</v>
          </cell>
          <cell r="U428">
            <v>0</v>
          </cell>
          <cell r="V428">
            <v>0</v>
          </cell>
        </row>
        <row r="429">
          <cell r="D429" t="str">
            <v>Bloco Cerâmico 11,5 Cm X19Cm X29Cm - 3º Pav. Tipo</v>
          </cell>
          <cell r="E429">
            <v>0</v>
          </cell>
          <cell r="F429" t="str">
            <v>vb</v>
          </cell>
          <cell r="G429">
            <v>0</v>
          </cell>
          <cell r="H429">
            <v>0</v>
          </cell>
          <cell r="I429" t="str">
            <v>01.010.003.005 - Bloco Cerâmico 11,5 Cm X19Cm X29Cm - 3º Pav. Tipo</v>
          </cell>
          <cell r="J429" t="str">
            <v>3 - CUSTOS DIRETOS</v>
          </cell>
          <cell r="K429" t="str">
            <v>3 - CUSTOS DIRETOS1.010.003.005</v>
          </cell>
          <cell r="L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T429">
            <v>0</v>
          </cell>
          <cell r="U429">
            <v>0</v>
          </cell>
          <cell r="V429">
            <v>0</v>
          </cell>
        </row>
        <row r="430">
          <cell r="D430" t="str">
            <v>Bloco Cerâmico 11,5 Cm X19Cm X29Cm - 4º Pav. Tipo</v>
          </cell>
          <cell r="E430">
            <v>0</v>
          </cell>
          <cell r="F430" t="str">
            <v>vb</v>
          </cell>
          <cell r="G430">
            <v>0</v>
          </cell>
          <cell r="H430">
            <v>0</v>
          </cell>
          <cell r="I430" t="str">
            <v>01.010.003.006 - Bloco Cerâmico 11,5 Cm X19Cm X29Cm - 4º Pav. Tipo</v>
          </cell>
          <cell r="J430" t="str">
            <v>3 - CUSTOS DIRETOS</v>
          </cell>
          <cell r="K430" t="str">
            <v>3 - CUSTOS DIRETOS1.010.003.006</v>
          </cell>
          <cell r="L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T430">
            <v>0</v>
          </cell>
          <cell r="U430">
            <v>0</v>
          </cell>
          <cell r="V430">
            <v>0</v>
          </cell>
        </row>
        <row r="431">
          <cell r="D431" t="str">
            <v>Bloco Cerâmico 11,5 Cm X19Cm X29Cm - 5º Pav. Tipo</v>
          </cell>
          <cell r="E431">
            <v>0</v>
          </cell>
          <cell r="F431" t="str">
            <v>vb</v>
          </cell>
          <cell r="G431">
            <v>0</v>
          </cell>
          <cell r="H431">
            <v>0</v>
          </cell>
          <cell r="I431" t="str">
            <v>01.010.003.007 - Bloco Cerâmico 11,5 Cm X19Cm X29Cm - 5º Pav. Tipo</v>
          </cell>
          <cell r="J431" t="str">
            <v>3 - CUSTOS DIRETOS</v>
          </cell>
          <cell r="K431" t="str">
            <v>3 - CUSTOS DIRETOS1.010.003.007</v>
          </cell>
          <cell r="L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T431">
            <v>0</v>
          </cell>
          <cell r="U431">
            <v>0</v>
          </cell>
          <cell r="V431">
            <v>0</v>
          </cell>
        </row>
        <row r="432">
          <cell r="D432" t="str">
            <v>Bloco Cerâmico 11,5 Cm X19Cm X29Cm - 6º Pav. Tipo</v>
          </cell>
          <cell r="E432">
            <v>0</v>
          </cell>
          <cell r="F432" t="str">
            <v>vb</v>
          </cell>
          <cell r="G432">
            <v>0</v>
          </cell>
          <cell r="H432">
            <v>0</v>
          </cell>
          <cell r="I432" t="str">
            <v>01.010.003.008 - Bloco Cerâmico 11,5 Cm X19Cm X29Cm - 6º Pav. Tipo</v>
          </cell>
          <cell r="J432" t="str">
            <v>3 - CUSTOS DIRETOS</v>
          </cell>
          <cell r="K432" t="str">
            <v>3 - CUSTOS DIRETOS1.010.003.008</v>
          </cell>
          <cell r="L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T432">
            <v>0</v>
          </cell>
          <cell r="U432">
            <v>0</v>
          </cell>
          <cell r="V432">
            <v>0</v>
          </cell>
        </row>
        <row r="433">
          <cell r="D433" t="str">
            <v>Bloco Cerâmico 11,5 Cm X19Cm X29Cm - 7º Pav. Tipo</v>
          </cell>
          <cell r="E433">
            <v>0</v>
          </cell>
          <cell r="F433" t="str">
            <v>vb</v>
          </cell>
          <cell r="G433">
            <v>0</v>
          </cell>
          <cell r="H433">
            <v>0</v>
          </cell>
          <cell r="I433" t="str">
            <v>01.010.003.009 - Bloco Cerâmico 11,5 Cm X19Cm X29Cm - 7º Pav. Tipo</v>
          </cell>
          <cell r="J433" t="str">
            <v>3 - CUSTOS DIRETOS</v>
          </cell>
          <cell r="K433" t="str">
            <v>3 - CUSTOS DIRETOS1.010.003.009</v>
          </cell>
          <cell r="L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T433">
            <v>0</v>
          </cell>
          <cell r="U433">
            <v>0</v>
          </cell>
          <cell r="V433">
            <v>0</v>
          </cell>
        </row>
        <row r="434">
          <cell r="D434" t="str">
            <v>Bloco Cerâmico 11,5 Cm X19Cm X29Cm - 8º Pav. Tipo</v>
          </cell>
          <cell r="E434">
            <v>0</v>
          </cell>
          <cell r="F434" t="str">
            <v>vb</v>
          </cell>
          <cell r="G434">
            <v>0</v>
          </cell>
          <cell r="H434">
            <v>0</v>
          </cell>
          <cell r="I434" t="str">
            <v>01.010.003.010 - Bloco Cerâmico 11,5 Cm X19Cm X29Cm - 8º Pav. Tipo</v>
          </cell>
          <cell r="J434" t="str">
            <v>3 - CUSTOS DIRETOS</v>
          </cell>
          <cell r="K434" t="str">
            <v>3 - CUSTOS DIRETOS1.010.003.010</v>
          </cell>
          <cell r="L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D435" t="str">
            <v>Bloco Cerâmico 11,5 Cm X19Cm X29Cm - 9º Pav. Tipo</v>
          </cell>
          <cell r="E435">
            <v>0</v>
          </cell>
          <cell r="F435" t="str">
            <v>vb</v>
          </cell>
          <cell r="G435">
            <v>0</v>
          </cell>
          <cell r="H435">
            <v>0</v>
          </cell>
          <cell r="I435" t="str">
            <v>01.010.003.011 - Bloco Cerâmico 11,5 Cm X19Cm X29Cm - 9º Pav. Tipo</v>
          </cell>
          <cell r="J435" t="str">
            <v>3 - CUSTOS DIRETOS</v>
          </cell>
          <cell r="K435" t="str">
            <v>3 - CUSTOS DIRETOS1.010.003.011</v>
          </cell>
          <cell r="L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T435">
            <v>0</v>
          </cell>
          <cell r="U435">
            <v>0</v>
          </cell>
          <cell r="V435">
            <v>0</v>
          </cell>
        </row>
        <row r="436">
          <cell r="D436" t="str">
            <v>Bloco Cerâmico 11,5 Cm X19Cm X29Cm - 10º Pav. Tipo</v>
          </cell>
          <cell r="E436">
            <v>0</v>
          </cell>
          <cell r="F436" t="str">
            <v>vb</v>
          </cell>
          <cell r="G436">
            <v>0</v>
          </cell>
          <cell r="H436">
            <v>0</v>
          </cell>
          <cell r="I436" t="str">
            <v>01.010.003.012 - Bloco Cerâmico 11,5 Cm X19Cm X29Cm - 10º Pav. Tipo</v>
          </cell>
          <cell r="J436" t="str">
            <v>3 - CUSTOS DIRETOS</v>
          </cell>
          <cell r="K436" t="str">
            <v>3 - CUSTOS DIRETOS1.010.003.012</v>
          </cell>
          <cell r="L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T436">
            <v>0</v>
          </cell>
          <cell r="U436">
            <v>0</v>
          </cell>
          <cell r="V436">
            <v>0</v>
          </cell>
        </row>
        <row r="437">
          <cell r="D437" t="str">
            <v>Bloco Cerâmico 11,5 Cm X19Cm X29Cm - 11º Pav. Tipo</v>
          </cell>
          <cell r="E437">
            <v>0</v>
          </cell>
          <cell r="F437" t="str">
            <v>vb</v>
          </cell>
          <cell r="G437">
            <v>0</v>
          </cell>
          <cell r="H437">
            <v>0</v>
          </cell>
          <cell r="I437" t="str">
            <v>01.010.003.013 - Bloco Cerâmico 11,5 Cm X19Cm X29Cm - 11º Pav. Tipo</v>
          </cell>
          <cell r="J437" t="str">
            <v>3 - CUSTOS DIRETOS</v>
          </cell>
          <cell r="K437" t="str">
            <v>3 - CUSTOS DIRETOS1.010.003.013</v>
          </cell>
          <cell r="L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T437">
            <v>0</v>
          </cell>
          <cell r="U437">
            <v>0</v>
          </cell>
          <cell r="V437">
            <v>0</v>
          </cell>
        </row>
        <row r="438">
          <cell r="D438" t="str">
            <v>Bloco Cerâmico 11,5 Cm X19Cm X29Cm - 12º Pav. Tipo</v>
          </cell>
          <cell r="E438">
            <v>0</v>
          </cell>
          <cell r="F438" t="str">
            <v>vb</v>
          </cell>
          <cell r="G438">
            <v>0</v>
          </cell>
          <cell r="H438">
            <v>0</v>
          </cell>
          <cell r="I438" t="str">
            <v>01.010.003.014 - Bloco Cerâmico 11,5 Cm X19Cm X29Cm - 12º Pav. Tipo</v>
          </cell>
          <cell r="J438" t="str">
            <v>3 - CUSTOS DIRETOS</v>
          </cell>
          <cell r="K438" t="str">
            <v>3 - CUSTOS DIRETOS1.010.003.014</v>
          </cell>
          <cell r="L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D439" t="str">
            <v>Bloco Cerâmico 11,5 Cm X19Cm X29Cm - 13º Pav. Tipo</v>
          </cell>
          <cell r="E439">
            <v>0</v>
          </cell>
          <cell r="F439" t="str">
            <v>vb</v>
          </cell>
          <cell r="G439">
            <v>0</v>
          </cell>
          <cell r="H439">
            <v>0</v>
          </cell>
          <cell r="I439" t="str">
            <v>01.010.003.015 - Bloco Cerâmico 11,5 Cm X19Cm X29Cm - 13º Pav. Tipo</v>
          </cell>
          <cell r="J439" t="str">
            <v>3 - CUSTOS DIRETOS</v>
          </cell>
          <cell r="K439" t="str">
            <v>3 - CUSTOS DIRETOS1.010.003.015</v>
          </cell>
          <cell r="L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T439">
            <v>0</v>
          </cell>
          <cell r="U439">
            <v>0</v>
          </cell>
          <cell r="V439">
            <v>0</v>
          </cell>
        </row>
        <row r="440">
          <cell r="D440" t="str">
            <v>Bloco Cerâmico 11,5 Cm X19Cm X29Cm - 14º Pav. Tipo</v>
          </cell>
          <cell r="E440">
            <v>0</v>
          </cell>
          <cell r="F440" t="str">
            <v>vb</v>
          </cell>
          <cell r="G440">
            <v>0</v>
          </cell>
          <cell r="H440">
            <v>0</v>
          </cell>
          <cell r="I440" t="str">
            <v>01.010.003.016 - Bloco Cerâmico 11,5 Cm X19Cm X29Cm - 14º Pav. Tipo</v>
          </cell>
          <cell r="J440" t="str">
            <v>3 - CUSTOS DIRETOS</v>
          </cell>
          <cell r="K440" t="str">
            <v>3 - CUSTOS DIRETOS1.010.003.016</v>
          </cell>
          <cell r="L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T440">
            <v>0</v>
          </cell>
          <cell r="U440">
            <v>0</v>
          </cell>
          <cell r="V440">
            <v>0</v>
          </cell>
        </row>
        <row r="441">
          <cell r="D441" t="str">
            <v>Bloco Cerâmico 11,5 Cm X19Cm X29Cm - 15º Pav. Tipo</v>
          </cell>
          <cell r="E441">
            <v>0</v>
          </cell>
          <cell r="F441" t="str">
            <v>vb</v>
          </cell>
          <cell r="G441">
            <v>0</v>
          </cell>
          <cell r="H441">
            <v>0</v>
          </cell>
          <cell r="I441" t="str">
            <v>01.010.003.017 - Bloco Cerâmico 11,5 Cm X19Cm X29Cm - 15º Pav. Tipo</v>
          </cell>
          <cell r="J441" t="str">
            <v>3 - CUSTOS DIRETOS</v>
          </cell>
          <cell r="K441" t="str">
            <v>3 - CUSTOS DIRETOS1.010.003.017</v>
          </cell>
          <cell r="L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D442" t="str">
            <v>Bloco Cerâmico 11,5 Cm X19Cm X29Cm - Cobertura</v>
          </cell>
          <cell r="E442">
            <v>0</v>
          </cell>
          <cell r="F442" t="str">
            <v>vb</v>
          </cell>
          <cell r="G442">
            <v>0</v>
          </cell>
          <cell r="H442">
            <v>0</v>
          </cell>
          <cell r="I442" t="str">
            <v>01.010.003.018 - Bloco Cerâmico 11,5 Cm X19Cm X29Cm - Cobertura</v>
          </cell>
          <cell r="J442" t="str">
            <v>3 - CUSTOS DIRETOS</v>
          </cell>
          <cell r="K442" t="str">
            <v>3 - CUSTOS DIRETOS1.010.003.018</v>
          </cell>
          <cell r="L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T442">
            <v>0</v>
          </cell>
          <cell r="U442">
            <v>0</v>
          </cell>
          <cell r="V442">
            <v>0</v>
          </cell>
        </row>
        <row r="443">
          <cell r="D443" t="str">
            <v xml:space="preserve">BLOCO CERÂMICO 9,0 CM X19CM X29CM </v>
          </cell>
          <cell r="I443" t="str">
            <v xml:space="preserve">01.010.004 - BLOCO CERÂMICO 9,0 CM X19CM X29CM </v>
          </cell>
          <cell r="J443" t="str">
            <v>3 - CUSTOS DIRETOS</v>
          </cell>
          <cell r="K443" t="str">
            <v>3 - CUSTOS DIRETOS1.010.004</v>
          </cell>
          <cell r="L443">
            <v>1649.29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T443">
            <v>1649.29</v>
          </cell>
          <cell r="U443">
            <v>1649.29</v>
          </cell>
          <cell r="V443">
            <v>0</v>
          </cell>
        </row>
        <row r="444">
          <cell r="D444" t="str">
            <v>Bloco Cerâmico 9,0 Cm X19Cm X29Cm  - Subsolo</v>
          </cell>
          <cell r="E444">
            <v>0</v>
          </cell>
          <cell r="F444" t="str">
            <v>vb</v>
          </cell>
          <cell r="G444">
            <v>0</v>
          </cell>
          <cell r="H444">
            <v>0</v>
          </cell>
          <cell r="I444" t="str">
            <v>01.010.004.001 - Bloco Cerâmico 9,0 Cm X19Cm X29Cm  - Subsolo</v>
          </cell>
          <cell r="J444" t="str">
            <v>3 - CUSTOS DIRETOS</v>
          </cell>
          <cell r="K444" t="str">
            <v>3 - CUSTOS DIRETOS1.010.004.001</v>
          </cell>
          <cell r="L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T444">
            <v>0</v>
          </cell>
          <cell r="U444">
            <v>0</v>
          </cell>
          <cell r="V444">
            <v>0</v>
          </cell>
        </row>
        <row r="445">
          <cell r="D445" t="str">
            <v>Bloco Cerâmico 9,0 Cm X19Cm X29Cm  - Térreo</v>
          </cell>
          <cell r="E445">
            <v>30.15</v>
          </cell>
          <cell r="F445" t="str">
            <v>vb</v>
          </cell>
          <cell r="G445">
            <v>1649.29</v>
          </cell>
          <cell r="H445">
            <v>0</v>
          </cell>
          <cell r="I445" t="str">
            <v>01.010.004.002 - Bloco Cerâmico 9,0 Cm X19Cm X29Cm  - Térreo</v>
          </cell>
          <cell r="J445" t="str">
            <v>3 - CUSTOS DIRETOS</v>
          </cell>
          <cell r="K445" t="str">
            <v>3 - CUSTOS DIRETOS1.010.004.002</v>
          </cell>
          <cell r="L445">
            <v>1649.29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T445">
            <v>1649.29</v>
          </cell>
          <cell r="U445">
            <v>1649.29</v>
          </cell>
          <cell r="V445">
            <v>0</v>
          </cell>
        </row>
        <row r="446">
          <cell r="D446" t="str">
            <v>Bloco Cerâmico 9,0 Cm X19Cm X29Cm  - 1º Pav. Tipo</v>
          </cell>
          <cell r="E446">
            <v>0</v>
          </cell>
          <cell r="F446" t="str">
            <v>vb</v>
          </cell>
          <cell r="G446">
            <v>0</v>
          </cell>
          <cell r="H446">
            <v>0</v>
          </cell>
          <cell r="I446" t="str">
            <v>01.010.004.003 - Bloco Cerâmico 9,0 Cm X19Cm X29Cm  - 1º Pav. Tipo</v>
          </cell>
          <cell r="J446" t="str">
            <v>3 - CUSTOS DIRETOS</v>
          </cell>
          <cell r="K446" t="str">
            <v>3 - CUSTOS DIRETOS1.010.004.003</v>
          </cell>
          <cell r="L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T446">
            <v>0</v>
          </cell>
          <cell r="U446">
            <v>0</v>
          </cell>
          <cell r="V446">
            <v>0</v>
          </cell>
        </row>
        <row r="447">
          <cell r="D447" t="str">
            <v>Bloco Cerâmico 9,0 Cm X19Cm X29Cm  - 2º Pav. Tipo</v>
          </cell>
          <cell r="E447">
            <v>0</v>
          </cell>
          <cell r="F447" t="str">
            <v>vb</v>
          </cell>
          <cell r="G447">
            <v>0</v>
          </cell>
          <cell r="H447">
            <v>0</v>
          </cell>
          <cell r="I447" t="str">
            <v>01.010.004.004 - Bloco Cerâmico 9,0 Cm X19Cm X29Cm  - 2º Pav. Tipo</v>
          </cell>
          <cell r="J447" t="str">
            <v>3 - CUSTOS DIRETOS</v>
          </cell>
          <cell r="K447" t="str">
            <v>3 - CUSTOS DIRETOS1.010.004.004</v>
          </cell>
          <cell r="L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T447">
            <v>0</v>
          </cell>
          <cell r="U447">
            <v>0</v>
          </cell>
          <cell r="V447">
            <v>0</v>
          </cell>
        </row>
        <row r="448">
          <cell r="D448" t="str">
            <v>Bloco Cerâmico 9,0 Cm X19Cm X29Cm  - 3º Pav. Tipo</v>
          </cell>
          <cell r="E448">
            <v>0</v>
          </cell>
          <cell r="F448" t="str">
            <v>vb</v>
          </cell>
          <cell r="G448">
            <v>0</v>
          </cell>
          <cell r="H448">
            <v>0</v>
          </cell>
          <cell r="I448" t="str">
            <v>01.010.004.005 - Bloco Cerâmico 9,0 Cm X19Cm X29Cm  - 3º Pav. Tipo</v>
          </cell>
          <cell r="J448" t="str">
            <v>3 - CUSTOS DIRETOS</v>
          </cell>
          <cell r="K448" t="str">
            <v>3 - CUSTOS DIRETOS1.010.004.005</v>
          </cell>
          <cell r="L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D449" t="str">
            <v>Bloco Cerâmico 9,0 Cm X19Cm X29Cm  - 4º Pav. Tipo</v>
          </cell>
          <cell r="E449">
            <v>0</v>
          </cell>
          <cell r="F449" t="str">
            <v>vb</v>
          </cell>
          <cell r="G449">
            <v>0</v>
          </cell>
          <cell r="H449">
            <v>0</v>
          </cell>
          <cell r="I449" t="str">
            <v>01.010.004.006 - Bloco Cerâmico 9,0 Cm X19Cm X29Cm  - 4º Pav. Tipo</v>
          </cell>
          <cell r="J449" t="str">
            <v>3 - CUSTOS DIRETOS</v>
          </cell>
          <cell r="K449" t="str">
            <v>3 - CUSTOS DIRETOS1.010.004.006</v>
          </cell>
          <cell r="L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D450" t="str">
            <v>Bloco Cerâmico 9,0 Cm X19Cm X29Cm  - 5º Pav. Tipo</v>
          </cell>
          <cell r="E450">
            <v>0</v>
          </cell>
          <cell r="F450" t="str">
            <v>vb</v>
          </cell>
          <cell r="G450">
            <v>0</v>
          </cell>
          <cell r="H450">
            <v>0</v>
          </cell>
          <cell r="I450" t="str">
            <v>01.010.004.007 - Bloco Cerâmico 9,0 Cm X19Cm X29Cm  - 5º Pav. Tipo</v>
          </cell>
          <cell r="J450" t="str">
            <v>3 - CUSTOS DIRETOS</v>
          </cell>
          <cell r="K450" t="str">
            <v>3 - CUSTOS DIRETOS1.010.004.007</v>
          </cell>
          <cell r="L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D451" t="str">
            <v>Bloco Cerâmico 9,0 Cm X19Cm X29Cm  - 6º Pav. Tipo</v>
          </cell>
          <cell r="E451">
            <v>0</v>
          </cell>
          <cell r="F451" t="str">
            <v>vb</v>
          </cell>
          <cell r="G451">
            <v>0</v>
          </cell>
          <cell r="H451">
            <v>0</v>
          </cell>
          <cell r="I451" t="str">
            <v>01.010.004.008 - Bloco Cerâmico 9,0 Cm X19Cm X29Cm  - 6º Pav. Tipo</v>
          </cell>
          <cell r="J451" t="str">
            <v>3 - CUSTOS DIRETOS</v>
          </cell>
          <cell r="K451" t="str">
            <v>3 - CUSTOS DIRETOS1.010.004.008</v>
          </cell>
          <cell r="L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T451">
            <v>0</v>
          </cell>
          <cell r="U451">
            <v>0</v>
          </cell>
          <cell r="V451">
            <v>0</v>
          </cell>
        </row>
        <row r="452">
          <cell r="D452" t="str">
            <v>Bloco Cerâmico 9,0 Cm X19Cm X29Cm  - 7º Pav. Tipo</v>
          </cell>
          <cell r="E452">
            <v>0</v>
          </cell>
          <cell r="F452" t="str">
            <v>vb</v>
          </cell>
          <cell r="G452">
            <v>0</v>
          </cell>
          <cell r="H452">
            <v>0</v>
          </cell>
          <cell r="I452" t="str">
            <v>01.010.004.009 - Bloco Cerâmico 9,0 Cm X19Cm X29Cm  - 7º Pav. Tipo</v>
          </cell>
          <cell r="J452" t="str">
            <v>3 - CUSTOS DIRETOS</v>
          </cell>
          <cell r="K452" t="str">
            <v>3 - CUSTOS DIRETOS1.010.004.009</v>
          </cell>
          <cell r="L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D453" t="str">
            <v>Bloco Cerâmico 9,0 Cm X19Cm X29Cm  - 8º Pav. Tipo</v>
          </cell>
          <cell r="E453">
            <v>0</v>
          </cell>
          <cell r="F453" t="str">
            <v>vb</v>
          </cell>
          <cell r="G453">
            <v>0</v>
          </cell>
          <cell r="H453">
            <v>0</v>
          </cell>
          <cell r="I453" t="str">
            <v>01.010.004.010 - Bloco Cerâmico 9,0 Cm X19Cm X29Cm  - 8º Pav. Tipo</v>
          </cell>
          <cell r="J453" t="str">
            <v>3 - CUSTOS DIRETOS</v>
          </cell>
          <cell r="K453" t="str">
            <v>3 - CUSTOS DIRETOS1.010.004.010</v>
          </cell>
          <cell r="L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D454" t="str">
            <v>Bloco Cerâmico 9,0 Cm X19Cm X29Cm  - 9º Pav. Tipo</v>
          </cell>
          <cell r="E454">
            <v>0</v>
          </cell>
          <cell r="F454" t="str">
            <v>vb</v>
          </cell>
          <cell r="G454">
            <v>0</v>
          </cell>
          <cell r="H454">
            <v>0</v>
          </cell>
          <cell r="I454" t="str">
            <v>01.010.004.011 - Bloco Cerâmico 9,0 Cm X19Cm X29Cm  - 9º Pav. Tipo</v>
          </cell>
          <cell r="J454" t="str">
            <v>3 - CUSTOS DIRETOS</v>
          </cell>
          <cell r="K454" t="str">
            <v>3 - CUSTOS DIRETOS1.010.004.011</v>
          </cell>
          <cell r="L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D455" t="str">
            <v>Bloco Cerâmico 9,0 Cm X19Cm X29Cm  - 10º Pav. Tipo</v>
          </cell>
          <cell r="E455">
            <v>0</v>
          </cell>
          <cell r="F455" t="str">
            <v>vb</v>
          </cell>
          <cell r="G455">
            <v>0</v>
          </cell>
          <cell r="H455">
            <v>0</v>
          </cell>
          <cell r="I455" t="str">
            <v>01.010.004.012 - Bloco Cerâmico 9,0 Cm X19Cm X29Cm  - 10º Pav. Tipo</v>
          </cell>
          <cell r="J455" t="str">
            <v>3 - CUSTOS DIRETOS</v>
          </cell>
          <cell r="K455" t="str">
            <v>3 - CUSTOS DIRETOS1.010.004.012</v>
          </cell>
          <cell r="L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D456" t="str">
            <v>Bloco Cerâmico 9,0 Cm X19Cm X29Cm  - 11º Pav. Tipo</v>
          </cell>
          <cell r="E456">
            <v>0</v>
          </cell>
          <cell r="F456" t="str">
            <v>vb</v>
          </cell>
          <cell r="G456">
            <v>0</v>
          </cell>
          <cell r="H456">
            <v>0</v>
          </cell>
          <cell r="I456" t="str">
            <v>01.010.004.013 - Bloco Cerâmico 9,0 Cm X19Cm X29Cm  - 11º Pav. Tipo</v>
          </cell>
          <cell r="J456" t="str">
            <v>3 - CUSTOS DIRETOS</v>
          </cell>
          <cell r="K456" t="str">
            <v>3 - CUSTOS DIRETOS1.010.004.013</v>
          </cell>
          <cell r="L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T456">
            <v>0</v>
          </cell>
          <cell r="U456">
            <v>0</v>
          </cell>
          <cell r="V456">
            <v>0</v>
          </cell>
        </row>
        <row r="457">
          <cell r="D457" t="str">
            <v>Bloco Cerâmico 9,0 Cm X19Cm X29Cm  - 12º Pav. Tipo</v>
          </cell>
          <cell r="E457">
            <v>0</v>
          </cell>
          <cell r="F457" t="str">
            <v>vb</v>
          </cell>
          <cell r="G457">
            <v>0</v>
          </cell>
          <cell r="H457">
            <v>0</v>
          </cell>
          <cell r="I457" t="str">
            <v>01.010.004.014 - Bloco Cerâmico 9,0 Cm X19Cm X29Cm  - 12º Pav. Tipo</v>
          </cell>
          <cell r="J457" t="str">
            <v>3 - CUSTOS DIRETOS</v>
          </cell>
          <cell r="K457" t="str">
            <v>3 - CUSTOS DIRETOS1.010.004.014</v>
          </cell>
          <cell r="L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T457">
            <v>0</v>
          </cell>
          <cell r="U457">
            <v>0</v>
          </cell>
          <cell r="V457">
            <v>0</v>
          </cell>
        </row>
        <row r="458">
          <cell r="D458" t="str">
            <v>Bloco Cerâmico 9,0 Cm X19Cm X29Cm  - 13º Pav. Tipo</v>
          </cell>
          <cell r="E458">
            <v>0</v>
          </cell>
          <cell r="F458" t="str">
            <v>vb</v>
          </cell>
          <cell r="G458">
            <v>0</v>
          </cell>
          <cell r="H458">
            <v>0</v>
          </cell>
          <cell r="I458" t="str">
            <v>01.010.004.015 - Bloco Cerâmico 9,0 Cm X19Cm X29Cm  - 13º Pav. Tipo</v>
          </cell>
          <cell r="J458" t="str">
            <v>3 - CUSTOS DIRETOS</v>
          </cell>
          <cell r="K458" t="str">
            <v>3 - CUSTOS DIRETOS1.010.004.015</v>
          </cell>
          <cell r="L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T458">
            <v>0</v>
          </cell>
          <cell r="U458">
            <v>0</v>
          </cell>
          <cell r="V458">
            <v>0</v>
          </cell>
        </row>
        <row r="459">
          <cell r="D459" t="str">
            <v>Bloco Cerâmico 9,0 Cm X19Cm X29Cm  - 14º Pav. Tipo</v>
          </cell>
          <cell r="E459">
            <v>0</v>
          </cell>
          <cell r="F459" t="str">
            <v>vb</v>
          </cell>
          <cell r="G459">
            <v>0</v>
          </cell>
          <cell r="H459">
            <v>0</v>
          </cell>
          <cell r="I459" t="str">
            <v>01.010.004.016 - Bloco Cerâmico 9,0 Cm X19Cm X29Cm  - 14º Pav. Tipo</v>
          </cell>
          <cell r="J459" t="str">
            <v>3 - CUSTOS DIRETOS</v>
          </cell>
          <cell r="K459" t="str">
            <v>3 - CUSTOS DIRETOS1.010.004.016</v>
          </cell>
          <cell r="L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D460" t="str">
            <v>Bloco Cerâmico 9,0 Cm X19Cm X29Cm  - 15º Pav. Tipo</v>
          </cell>
          <cell r="E460">
            <v>0</v>
          </cell>
          <cell r="F460" t="str">
            <v>vb</v>
          </cell>
          <cell r="G460">
            <v>0</v>
          </cell>
          <cell r="H460">
            <v>0</v>
          </cell>
          <cell r="I460" t="str">
            <v>01.010.004.017 - Bloco Cerâmico 9,0 Cm X19Cm X29Cm  - 15º Pav. Tipo</v>
          </cell>
          <cell r="J460" t="str">
            <v>3 - CUSTOS DIRETOS</v>
          </cell>
          <cell r="K460" t="str">
            <v>3 - CUSTOS DIRETOS1.010.004.017</v>
          </cell>
          <cell r="L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T460">
            <v>0</v>
          </cell>
          <cell r="U460">
            <v>0</v>
          </cell>
          <cell r="V460">
            <v>0</v>
          </cell>
        </row>
        <row r="461">
          <cell r="D461" t="str">
            <v>Bloco Cerâmico 9,0 Cm X19Cm X29Cm  - Cobertura</v>
          </cell>
          <cell r="E461">
            <v>0</v>
          </cell>
          <cell r="F461" t="str">
            <v>vb</v>
          </cell>
          <cell r="G461">
            <v>0</v>
          </cell>
          <cell r="H461">
            <v>0</v>
          </cell>
          <cell r="I461" t="str">
            <v>01.010.004.018 - Bloco Cerâmico 9,0 Cm X19Cm X29Cm  - Cobertura</v>
          </cell>
          <cell r="J461" t="str">
            <v>3 - CUSTOS DIRETOS</v>
          </cell>
          <cell r="K461" t="str">
            <v>3 - CUSTOS DIRETOS1.010.004.018</v>
          </cell>
          <cell r="L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T461">
            <v>0</v>
          </cell>
          <cell r="U461">
            <v>0</v>
          </cell>
          <cell r="V461">
            <v>0</v>
          </cell>
        </row>
        <row r="462">
          <cell r="D462" t="str">
            <v>VERGAS E CONTRAVERGAS</v>
          </cell>
          <cell r="I462" t="str">
            <v>01.010.005 - VERGAS E CONTRAVERGAS</v>
          </cell>
          <cell r="J462" t="str">
            <v>3 - CUSTOS DIRETOS</v>
          </cell>
          <cell r="K462" t="str">
            <v>3 - CUSTOS DIRETOS1.010.005</v>
          </cell>
          <cell r="L462">
            <v>1906.74</v>
          </cell>
          <cell r="N462">
            <v>4399.62</v>
          </cell>
          <cell r="O462">
            <v>0</v>
          </cell>
          <cell r="P462">
            <v>0</v>
          </cell>
          <cell r="Q462">
            <v>0</v>
          </cell>
          <cell r="R462">
            <v>4399.62</v>
          </cell>
          <cell r="T462">
            <v>0</v>
          </cell>
          <cell r="U462">
            <v>4399.62</v>
          </cell>
          <cell r="V462">
            <v>-2492.88</v>
          </cell>
        </row>
        <row r="463">
          <cell r="D463" t="str">
            <v>Vergas E Contravergas - Subsolo</v>
          </cell>
          <cell r="E463">
            <v>6.4</v>
          </cell>
          <cell r="F463" t="str">
            <v>vb</v>
          </cell>
          <cell r="G463">
            <v>246.53</v>
          </cell>
          <cell r="H463">
            <v>0</v>
          </cell>
          <cell r="I463" t="str">
            <v>01.010.005.001 - Vergas E Contravergas - Subsolo</v>
          </cell>
          <cell r="J463" t="str">
            <v>3 - CUSTOS DIRETOS</v>
          </cell>
          <cell r="K463" t="str">
            <v>3 - CUSTOS DIRETOS1.010.005.001</v>
          </cell>
          <cell r="L463">
            <v>246.53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T463">
            <v>0</v>
          </cell>
          <cell r="U463">
            <v>0</v>
          </cell>
          <cell r="V463">
            <v>246.53</v>
          </cell>
        </row>
        <row r="464">
          <cell r="D464" t="str">
            <v>Vergas E Contravergas - Térreo</v>
          </cell>
          <cell r="E464">
            <v>35.700000000000003</v>
          </cell>
          <cell r="F464" t="str">
            <v>vb</v>
          </cell>
          <cell r="G464">
            <v>1375.16</v>
          </cell>
          <cell r="H464">
            <v>0</v>
          </cell>
          <cell r="I464" t="str">
            <v>01.010.005.002 - Vergas E Contravergas - Térreo</v>
          </cell>
          <cell r="J464" t="str">
            <v>3 - CUSTOS DIRETOS</v>
          </cell>
          <cell r="K464" t="str">
            <v>3 - CUSTOS DIRETOS1.010.005.002</v>
          </cell>
          <cell r="L464">
            <v>1375.16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T464">
            <v>0</v>
          </cell>
          <cell r="U464">
            <v>0</v>
          </cell>
          <cell r="V464">
            <v>1375.16</v>
          </cell>
        </row>
        <row r="465">
          <cell r="D465" t="str">
            <v>Vergas E Contravergas - 1º Pav. Tipo</v>
          </cell>
          <cell r="E465">
            <v>0</v>
          </cell>
          <cell r="F465" t="str">
            <v>vb</v>
          </cell>
          <cell r="G465">
            <v>0</v>
          </cell>
          <cell r="H465">
            <v>0</v>
          </cell>
          <cell r="I465" t="str">
            <v>01.010.005.003 - Vergas E Contravergas - 1º Pav. Tipo</v>
          </cell>
          <cell r="J465" t="str">
            <v>3 - CUSTOS DIRETOS</v>
          </cell>
          <cell r="K465" t="str">
            <v>3 - CUSTOS DIRETOS1.010.005.003</v>
          </cell>
          <cell r="L465">
            <v>0</v>
          </cell>
          <cell r="N465">
            <v>1473.97</v>
          </cell>
          <cell r="O465">
            <v>0</v>
          </cell>
          <cell r="P465">
            <v>0</v>
          </cell>
          <cell r="Q465">
            <v>0</v>
          </cell>
          <cell r="R465">
            <v>1473.97</v>
          </cell>
          <cell r="T465">
            <v>0</v>
          </cell>
          <cell r="U465">
            <v>1473.97</v>
          </cell>
          <cell r="V465">
            <v>-1473.97</v>
          </cell>
        </row>
        <row r="466">
          <cell r="D466" t="str">
            <v>Vergas E Contravergas - 2º Pav. Tipo</v>
          </cell>
          <cell r="E466">
            <v>0</v>
          </cell>
          <cell r="F466" t="str">
            <v>vb</v>
          </cell>
          <cell r="G466">
            <v>0</v>
          </cell>
          <cell r="H466">
            <v>0</v>
          </cell>
          <cell r="I466" t="str">
            <v>01.010.005.004 - Vergas E Contravergas - 2º Pav. Tipo</v>
          </cell>
          <cell r="J466" t="str">
            <v>3 - CUSTOS DIRETOS</v>
          </cell>
          <cell r="K466" t="str">
            <v>3 - CUSTOS DIRETOS1.010.005.004</v>
          </cell>
          <cell r="L466">
            <v>0</v>
          </cell>
          <cell r="N466">
            <v>1316.05</v>
          </cell>
          <cell r="O466">
            <v>0</v>
          </cell>
          <cell r="P466">
            <v>0</v>
          </cell>
          <cell r="Q466">
            <v>0</v>
          </cell>
          <cell r="R466">
            <v>1316.05</v>
          </cell>
          <cell r="T466">
            <v>0</v>
          </cell>
          <cell r="U466">
            <v>1316.05</v>
          </cell>
          <cell r="V466">
            <v>-1316.05</v>
          </cell>
        </row>
        <row r="467">
          <cell r="D467" t="str">
            <v>Vergas E Contravergas - 3º Pav. Tipo</v>
          </cell>
          <cell r="E467">
            <v>0</v>
          </cell>
          <cell r="F467" t="str">
            <v>vb</v>
          </cell>
          <cell r="G467">
            <v>0</v>
          </cell>
          <cell r="H467">
            <v>0</v>
          </cell>
          <cell r="I467" t="str">
            <v>01.010.005.005 - Vergas E Contravergas - 3º Pav. Tipo</v>
          </cell>
          <cell r="J467" t="str">
            <v>3 - CUSTOS DIRETOS</v>
          </cell>
          <cell r="K467" t="str">
            <v>3 - CUSTOS DIRETOS1.010.005.005</v>
          </cell>
          <cell r="L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D468" t="str">
            <v>Vergas E Contravergas - 4º Pav. Tipo</v>
          </cell>
          <cell r="E468">
            <v>0</v>
          </cell>
          <cell r="F468" t="str">
            <v>vb</v>
          </cell>
          <cell r="G468">
            <v>0</v>
          </cell>
          <cell r="H468">
            <v>0</v>
          </cell>
          <cell r="I468" t="str">
            <v>01.010.005.006 - Vergas E Contravergas - 4º Pav. Tipo</v>
          </cell>
          <cell r="J468" t="str">
            <v>3 - CUSTOS DIRETOS</v>
          </cell>
          <cell r="K468" t="str">
            <v>3 - CUSTOS DIRETOS1.010.005.006</v>
          </cell>
          <cell r="L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D469" t="str">
            <v>Vergas E Contravergas - 5º Pav. Tipo</v>
          </cell>
          <cell r="E469">
            <v>0</v>
          </cell>
          <cell r="F469" t="str">
            <v>vb</v>
          </cell>
          <cell r="G469">
            <v>0</v>
          </cell>
          <cell r="H469">
            <v>0</v>
          </cell>
          <cell r="I469" t="str">
            <v>01.010.005.007 - Vergas E Contravergas - 5º Pav. Tipo</v>
          </cell>
          <cell r="J469" t="str">
            <v>3 - CUSTOS DIRETOS</v>
          </cell>
          <cell r="K469" t="str">
            <v>3 - CUSTOS DIRETOS1.010.005.007</v>
          </cell>
          <cell r="L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D470" t="str">
            <v>Vergas E Contravergas - 6º Pav. Tipo</v>
          </cell>
          <cell r="E470">
            <v>0</v>
          </cell>
          <cell r="F470" t="str">
            <v>vb</v>
          </cell>
          <cell r="G470">
            <v>0</v>
          </cell>
          <cell r="H470">
            <v>0</v>
          </cell>
          <cell r="I470" t="str">
            <v>01.010.005.008 - Vergas E Contravergas - 6º Pav. Tipo</v>
          </cell>
          <cell r="J470" t="str">
            <v>3 - CUSTOS DIRETOS</v>
          </cell>
          <cell r="K470" t="str">
            <v>3 - CUSTOS DIRETOS1.010.005.008</v>
          </cell>
          <cell r="L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T470">
            <v>0</v>
          </cell>
          <cell r="U470">
            <v>0</v>
          </cell>
          <cell r="V470">
            <v>0</v>
          </cell>
        </row>
        <row r="471">
          <cell r="D471" t="str">
            <v>Vergas E Contravergas - 7º Pav. Tipo</v>
          </cell>
          <cell r="E471">
            <v>0</v>
          </cell>
          <cell r="F471" t="str">
            <v>vb</v>
          </cell>
          <cell r="G471">
            <v>0</v>
          </cell>
          <cell r="H471">
            <v>0</v>
          </cell>
          <cell r="I471" t="str">
            <v>01.010.005.009 - Vergas E Contravergas - 7º Pav. Tipo</v>
          </cell>
          <cell r="J471" t="str">
            <v>3 - CUSTOS DIRETOS</v>
          </cell>
          <cell r="K471" t="str">
            <v>3 - CUSTOS DIRETOS1.010.005.009</v>
          </cell>
          <cell r="L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D472" t="str">
            <v>Vergas E Contravergas - 8º Pav. Tipo</v>
          </cell>
          <cell r="E472">
            <v>0</v>
          </cell>
          <cell r="F472" t="str">
            <v>vb</v>
          </cell>
          <cell r="G472">
            <v>0</v>
          </cell>
          <cell r="H472">
            <v>0</v>
          </cell>
          <cell r="I472" t="str">
            <v>01.010.005.010 - Vergas E Contravergas - 8º Pav. Tipo</v>
          </cell>
          <cell r="J472" t="str">
            <v>3 - CUSTOS DIRETOS</v>
          </cell>
          <cell r="K472" t="str">
            <v>3 - CUSTOS DIRETOS1.010.005.010</v>
          </cell>
          <cell r="L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D473" t="str">
            <v>Vergas E Contravergas - 9º Pav. Tipo</v>
          </cell>
          <cell r="E473">
            <v>0</v>
          </cell>
          <cell r="F473" t="str">
            <v>vb</v>
          </cell>
          <cell r="G473">
            <v>0</v>
          </cell>
          <cell r="H473">
            <v>0</v>
          </cell>
          <cell r="I473" t="str">
            <v>01.010.005.011 - Vergas E Contravergas - 9º Pav. Tipo</v>
          </cell>
          <cell r="J473" t="str">
            <v>3 - CUSTOS DIRETOS</v>
          </cell>
          <cell r="K473" t="str">
            <v>3 - CUSTOS DIRETOS1.010.005.011</v>
          </cell>
          <cell r="L473">
            <v>0</v>
          </cell>
          <cell r="N473">
            <v>1409.6</v>
          </cell>
          <cell r="O473">
            <v>0</v>
          </cell>
          <cell r="P473">
            <v>0</v>
          </cell>
          <cell r="Q473">
            <v>0</v>
          </cell>
          <cell r="R473">
            <v>1409.6</v>
          </cell>
          <cell r="T473">
            <v>0</v>
          </cell>
          <cell r="U473">
            <v>1409.6</v>
          </cell>
          <cell r="V473">
            <v>-1409.6</v>
          </cell>
        </row>
        <row r="474">
          <cell r="D474" t="str">
            <v>Vergas E Contravergas - 10º Pav. Tipo</v>
          </cell>
          <cell r="E474">
            <v>0</v>
          </cell>
          <cell r="F474" t="str">
            <v>vb</v>
          </cell>
          <cell r="G474">
            <v>0</v>
          </cell>
          <cell r="H474">
            <v>0</v>
          </cell>
          <cell r="I474" t="str">
            <v>01.010.005.012 - Vergas E Contravergas - 10º Pav. Tipo</v>
          </cell>
          <cell r="J474" t="str">
            <v>3 - CUSTOS DIRETOS</v>
          </cell>
          <cell r="K474" t="str">
            <v>3 - CUSTOS DIRETOS1.010.005.012</v>
          </cell>
          <cell r="L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D475" t="str">
            <v>Vergas E Contravergas - 11º Pav. Tipo</v>
          </cell>
          <cell r="E475">
            <v>0</v>
          </cell>
          <cell r="F475" t="str">
            <v>vb</v>
          </cell>
          <cell r="G475">
            <v>0</v>
          </cell>
          <cell r="H475">
            <v>0</v>
          </cell>
          <cell r="I475" t="str">
            <v>01.010.005.013 - Vergas E Contravergas - 11º Pav. Tipo</v>
          </cell>
          <cell r="J475" t="str">
            <v>3 - CUSTOS DIRETOS</v>
          </cell>
          <cell r="K475" t="str">
            <v>3 - CUSTOS DIRETOS1.010.005.013</v>
          </cell>
          <cell r="L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D476" t="str">
            <v>Vergas E Contravergas - 12º Pav. Tipo</v>
          </cell>
          <cell r="E476">
            <v>0</v>
          </cell>
          <cell r="F476" t="str">
            <v>vb</v>
          </cell>
          <cell r="G476">
            <v>0</v>
          </cell>
          <cell r="H476">
            <v>0</v>
          </cell>
          <cell r="I476" t="str">
            <v>01.010.005.014 - Vergas E Contravergas - 12º Pav. Tipo</v>
          </cell>
          <cell r="J476" t="str">
            <v>3 - CUSTOS DIRETOS</v>
          </cell>
          <cell r="K476" t="str">
            <v>3 - CUSTOS DIRETOS1.010.005.014</v>
          </cell>
          <cell r="L476">
            <v>0</v>
          </cell>
          <cell r="N476">
            <v>200</v>
          </cell>
          <cell r="O476">
            <v>0</v>
          </cell>
          <cell r="P476">
            <v>0</v>
          </cell>
          <cell r="Q476">
            <v>0</v>
          </cell>
          <cell r="R476">
            <v>200</v>
          </cell>
          <cell r="T476">
            <v>0</v>
          </cell>
          <cell r="U476">
            <v>200</v>
          </cell>
          <cell r="V476">
            <v>-200</v>
          </cell>
        </row>
        <row r="477">
          <cell r="D477" t="str">
            <v>Vergas E Contravergas - 13º Pav. Tipo</v>
          </cell>
          <cell r="E477">
            <v>0</v>
          </cell>
          <cell r="F477" t="str">
            <v>vb</v>
          </cell>
          <cell r="G477">
            <v>0</v>
          </cell>
          <cell r="H477">
            <v>0</v>
          </cell>
          <cell r="I477" t="str">
            <v>01.010.005.015 - Vergas E Contravergas - 13º Pav. Tipo</v>
          </cell>
          <cell r="J477" t="str">
            <v>3 - CUSTOS DIRETOS</v>
          </cell>
          <cell r="K477" t="str">
            <v>3 - CUSTOS DIRETOS1.010.005.015</v>
          </cell>
          <cell r="L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D478" t="str">
            <v>Vergas E Contravergas - 14º Pav. Tipo</v>
          </cell>
          <cell r="E478">
            <v>0</v>
          </cell>
          <cell r="F478" t="str">
            <v>vb</v>
          </cell>
          <cell r="G478">
            <v>0</v>
          </cell>
          <cell r="H478">
            <v>0</v>
          </cell>
          <cell r="I478" t="str">
            <v>01.010.005.016 - Vergas E Contravergas - 14º Pav. Tipo</v>
          </cell>
          <cell r="J478" t="str">
            <v>3 - CUSTOS DIRETOS</v>
          </cell>
          <cell r="K478" t="str">
            <v>3 - CUSTOS DIRETOS1.010.005.016</v>
          </cell>
          <cell r="L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D479" t="str">
            <v>Vergas E Contravergas - 15º Pav. Tipo</v>
          </cell>
          <cell r="E479">
            <v>0</v>
          </cell>
          <cell r="F479" t="str">
            <v>vb</v>
          </cell>
          <cell r="G479">
            <v>0</v>
          </cell>
          <cell r="H479">
            <v>0</v>
          </cell>
          <cell r="I479" t="str">
            <v>01.010.005.017 - Vergas E Contravergas - 15º Pav. Tipo</v>
          </cell>
          <cell r="J479" t="str">
            <v>3 - CUSTOS DIRETOS</v>
          </cell>
          <cell r="K479" t="str">
            <v>3 - CUSTOS DIRETOS1.010.005.017</v>
          </cell>
          <cell r="L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D480" t="str">
            <v>Vergas E Contravergas - Cobertura</v>
          </cell>
          <cell r="E480">
            <v>7.4</v>
          </cell>
          <cell r="F480" t="str">
            <v>vb</v>
          </cell>
          <cell r="G480">
            <v>285.05</v>
          </cell>
          <cell r="H480">
            <v>0</v>
          </cell>
          <cell r="I480" t="str">
            <v>01.010.005.018 - Vergas E Contravergas - Cobertura</v>
          </cell>
          <cell r="J480" t="str">
            <v>3 - CUSTOS DIRETOS</v>
          </cell>
          <cell r="K480" t="str">
            <v>3 - CUSTOS DIRETOS1.010.005.018</v>
          </cell>
          <cell r="L480">
            <v>285.05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T480">
            <v>0</v>
          </cell>
          <cell r="U480">
            <v>0</v>
          </cell>
          <cell r="V480">
            <v>285.05</v>
          </cell>
        </row>
        <row r="481">
          <cell r="D481" t="str">
            <v>MARCAÇÃO DE ALVENARIA</v>
          </cell>
          <cell r="I481" t="str">
            <v>01.010.006 - MARCAÇÃO DE ALVENARIA</v>
          </cell>
          <cell r="J481" t="str">
            <v>3 - CUSTOS DIRETOS</v>
          </cell>
          <cell r="K481" t="str">
            <v>3 - CUSTOS DIRETOS1.010.006</v>
          </cell>
          <cell r="L481">
            <v>8024.6399999999994</v>
          </cell>
          <cell r="N481">
            <v>3408.62</v>
          </cell>
          <cell r="O481">
            <v>40</v>
          </cell>
          <cell r="P481">
            <v>0</v>
          </cell>
          <cell r="Q481">
            <v>0</v>
          </cell>
          <cell r="R481">
            <v>3448.62</v>
          </cell>
          <cell r="T481">
            <v>0</v>
          </cell>
          <cell r="U481">
            <v>3448.62</v>
          </cell>
          <cell r="V481">
            <v>4576.0199999999995</v>
          </cell>
        </row>
        <row r="482">
          <cell r="D482" t="str">
            <v>Marcação De Alvenaria - Subsolo</v>
          </cell>
          <cell r="E482">
            <v>240.43</v>
          </cell>
          <cell r="F482" t="str">
            <v>vb</v>
          </cell>
          <cell r="G482">
            <v>2530.91</v>
          </cell>
          <cell r="H482">
            <v>0</v>
          </cell>
          <cell r="I482" t="str">
            <v>01.010.006.001 - Marcação De Alvenaria - Subsolo</v>
          </cell>
          <cell r="J482" t="str">
            <v>3 - CUSTOS DIRETOS</v>
          </cell>
          <cell r="K482" t="str">
            <v>3 - CUSTOS DIRETOS1.010.006.001</v>
          </cell>
          <cell r="L482">
            <v>2530.91</v>
          </cell>
          <cell r="N482">
            <v>0.47000000000000064</v>
          </cell>
          <cell r="O482">
            <v>0</v>
          </cell>
          <cell r="P482">
            <v>0</v>
          </cell>
          <cell r="Q482">
            <v>0</v>
          </cell>
          <cell r="R482">
            <v>0.47000000000000064</v>
          </cell>
          <cell r="T482">
            <v>0</v>
          </cell>
          <cell r="U482">
            <v>0.47000000000000064</v>
          </cell>
          <cell r="V482">
            <v>2530.44</v>
          </cell>
        </row>
        <row r="483">
          <cell r="D483" t="str">
            <v>Marcação De Alvenaria - Térreo</v>
          </cell>
          <cell r="E483">
            <v>414.79</v>
          </cell>
          <cell r="F483" t="str">
            <v>vb</v>
          </cell>
          <cell r="G483">
            <v>4366.33</v>
          </cell>
          <cell r="H483">
            <v>0</v>
          </cell>
          <cell r="I483" t="str">
            <v>01.010.006.002 - Marcação De Alvenaria - Térreo</v>
          </cell>
          <cell r="J483" t="str">
            <v>3 - CUSTOS DIRETOS</v>
          </cell>
          <cell r="K483" t="str">
            <v>3 - CUSTOS DIRETOS1.010.006.002</v>
          </cell>
          <cell r="L483">
            <v>4366.33</v>
          </cell>
          <cell r="N483">
            <v>1284.69</v>
          </cell>
          <cell r="O483">
            <v>0</v>
          </cell>
          <cell r="P483">
            <v>0</v>
          </cell>
          <cell r="Q483">
            <v>0</v>
          </cell>
          <cell r="R483">
            <v>1284.69</v>
          </cell>
          <cell r="T483">
            <v>0</v>
          </cell>
          <cell r="U483">
            <v>1284.69</v>
          </cell>
          <cell r="V483">
            <v>3081.64</v>
          </cell>
        </row>
        <row r="484">
          <cell r="D484" t="str">
            <v>Marcação De Alvenaria - 1º Pav. Tipo</v>
          </cell>
          <cell r="E484">
            <v>0</v>
          </cell>
          <cell r="F484" t="str">
            <v>vb</v>
          </cell>
          <cell r="G484">
            <v>0</v>
          </cell>
          <cell r="H484">
            <v>0</v>
          </cell>
          <cell r="I484" t="str">
            <v>01.010.006.003 - Marcação De Alvenaria - 1º Pav. Tipo</v>
          </cell>
          <cell r="J484" t="str">
            <v>3 - CUSTOS DIRETOS</v>
          </cell>
          <cell r="K484" t="str">
            <v>3 - CUSTOS DIRETOS1.010.006.003</v>
          </cell>
          <cell r="L484">
            <v>0</v>
          </cell>
          <cell r="N484">
            <v>116.57</v>
          </cell>
          <cell r="O484">
            <v>0</v>
          </cell>
          <cell r="P484">
            <v>0</v>
          </cell>
          <cell r="Q484">
            <v>0</v>
          </cell>
          <cell r="R484">
            <v>116.57</v>
          </cell>
          <cell r="T484">
            <v>0</v>
          </cell>
          <cell r="U484">
            <v>116.57</v>
          </cell>
          <cell r="V484">
            <v>-116.57</v>
          </cell>
        </row>
        <row r="485">
          <cell r="D485" t="str">
            <v>Marcação De Alvenaria - 2º Pav. Tipo</v>
          </cell>
          <cell r="E485">
            <v>0</v>
          </cell>
          <cell r="F485" t="str">
            <v>vb</v>
          </cell>
          <cell r="G485">
            <v>0</v>
          </cell>
          <cell r="H485">
            <v>0</v>
          </cell>
          <cell r="I485" t="str">
            <v>01.010.006.004 - Marcação De Alvenaria - 2º Pav. Tipo</v>
          </cell>
          <cell r="J485" t="str">
            <v>3 - CUSTOS DIRETOS</v>
          </cell>
          <cell r="K485" t="str">
            <v>3 - CUSTOS DIRETOS1.010.006.004</v>
          </cell>
          <cell r="L485">
            <v>0</v>
          </cell>
          <cell r="N485">
            <v>116.57</v>
          </cell>
          <cell r="O485">
            <v>0</v>
          </cell>
          <cell r="P485">
            <v>0</v>
          </cell>
          <cell r="Q485">
            <v>0</v>
          </cell>
          <cell r="R485">
            <v>116.57</v>
          </cell>
          <cell r="T485">
            <v>0</v>
          </cell>
          <cell r="U485">
            <v>116.57</v>
          </cell>
          <cell r="V485">
            <v>-116.57</v>
          </cell>
        </row>
        <row r="486">
          <cell r="D486" t="str">
            <v>Marcação De Alvenaria - 3º Pav. Tipo</v>
          </cell>
          <cell r="E486">
            <v>0</v>
          </cell>
          <cell r="F486" t="str">
            <v>vb</v>
          </cell>
          <cell r="G486">
            <v>0</v>
          </cell>
          <cell r="H486">
            <v>0</v>
          </cell>
          <cell r="I486" t="str">
            <v>01.010.006.005 - Marcação De Alvenaria - 3º Pav. Tipo</v>
          </cell>
          <cell r="J486" t="str">
            <v>3 - CUSTOS DIRETOS</v>
          </cell>
          <cell r="K486" t="str">
            <v>3 - CUSTOS DIRETOS1.010.006.005</v>
          </cell>
          <cell r="L486">
            <v>0</v>
          </cell>
          <cell r="N486">
            <v>116.57</v>
          </cell>
          <cell r="O486">
            <v>0</v>
          </cell>
          <cell r="P486">
            <v>0</v>
          </cell>
          <cell r="Q486">
            <v>0</v>
          </cell>
          <cell r="R486">
            <v>116.57</v>
          </cell>
          <cell r="T486">
            <v>0</v>
          </cell>
          <cell r="U486">
            <v>116.57</v>
          </cell>
          <cell r="V486">
            <v>-116.57</v>
          </cell>
        </row>
        <row r="487">
          <cell r="D487" t="str">
            <v>Marcação De Alvenaria - 4º Pav. Tipo</v>
          </cell>
          <cell r="E487">
            <v>0</v>
          </cell>
          <cell r="F487" t="str">
            <v>vb</v>
          </cell>
          <cell r="G487">
            <v>0</v>
          </cell>
          <cell r="H487">
            <v>0</v>
          </cell>
          <cell r="I487" t="str">
            <v>01.010.006.006 - Marcação De Alvenaria - 4º Pav. Tipo</v>
          </cell>
          <cell r="J487" t="str">
            <v>3 - CUSTOS DIRETOS</v>
          </cell>
          <cell r="K487" t="str">
            <v>3 - CUSTOS DIRETOS1.010.006.006</v>
          </cell>
          <cell r="L487">
            <v>0</v>
          </cell>
          <cell r="N487">
            <v>130.76999999999998</v>
          </cell>
          <cell r="O487">
            <v>0</v>
          </cell>
          <cell r="P487">
            <v>0</v>
          </cell>
          <cell r="Q487">
            <v>0</v>
          </cell>
          <cell r="R487">
            <v>130.76999999999998</v>
          </cell>
          <cell r="T487">
            <v>0</v>
          </cell>
          <cell r="U487">
            <v>130.76999999999998</v>
          </cell>
          <cell r="V487">
            <v>-130.76999999999998</v>
          </cell>
        </row>
        <row r="488">
          <cell r="D488" t="str">
            <v>Marcação De Alvenaria - 5º Pav. Tipo</v>
          </cell>
          <cell r="E488">
            <v>0</v>
          </cell>
          <cell r="F488" t="str">
            <v>vb</v>
          </cell>
          <cell r="G488">
            <v>0</v>
          </cell>
          <cell r="H488">
            <v>0</v>
          </cell>
          <cell r="I488" t="str">
            <v>01.010.006.007 - Marcação De Alvenaria - 5º Pav. Tipo</v>
          </cell>
          <cell r="J488" t="str">
            <v>3 - CUSTOS DIRETOS</v>
          </cell>
          <cell r="K488" t="str">
            <v>3 - CUSTOS DIRETOS1.010.006.007</v>
          </cell>
          <cell r="L488">
            <v>0</v>
          </cell>
          <cell r="N488">
            <v>116.57</v>
          </cell>
          <cell r="O488">
            <v>0</v>
          </cell>
          <cell r="P488">
            <v>0</v>
          </cell>
          <cell r="Q488">
            <v>0</v>
          </cell>
          <cell r="R488">
            <v>116.57</v>
          </cell>
          <cell r="T488">
            <v>0</v>
          </cell>
          <cell r="U488">
            <v>116.57</v>
          </cell>
          <cell r="V488">
            <v>-116.57</v>
          </cell>
        </row>
        <row r="489">
          <cell r="D489" t="str">
            <v>Marcação De Alvenaria - 6º Pav. Tipo</v>
          </cell>
          <cell r="E489">
            <v>0</v>
          </cell>
          <cell r="F489" t="str">
            <v>vb</v>
          </cell>
          <cell r="G489">
            <v>0</v>
          </cell>
          <cell r="H489">
            <v>0</v>
          </cell>
          <cell r="I489" t="str">
            <v>01.010.006.008 - Marcação De Alvenaria - 6º Pav. Tipo</v>
          </cell>
          <cell r="J489" t="str">
            <v>3 - CUSTOS DIRETOS</v>
          </cell>
          <cell r="K489" t="str">
            <v>3 - CUSTOS DIRETOS1.010.006.008</v>
          </cell>
          <cell r="L489">
            <v>0</v>
          </cell>
          <cell r="N489">
            <v>116.57</v>
          </cell>
          <cell r="O489">
            <v>0</v>
          </cell>
          <cell r="P489">
            <v>0</v>
          </cell>
          <cell r="Q489">
            <v>0</v>
          </cell>
          <cell r="R489">
            <v>116.57</v>
          </cell>
          <cell r="T489">
            <v>0</v>
          </cell>
          <cell r="U489">
            <v>116.57</v>
          </cell>
          <cell r="V489">
            <v>-116.57</v>
          </cell>
        </row>
        <row r="490">
          <cell r="D490" t="str">
            <v>Marcação De Alvenaria - 7º Pav. Tipo</v>
          </cell>
          <cell r="E490">
            <v>0</v>
          </cell>
          <cell r="F490" t="str">
            <v>vb</v>
          </cell>
          <cell r="G490">
            <v>0</v>
          </cell>
          <cell r="H490">
            <v>0</v>
          </cell>
          <cell r="I490" t="str">
            <v>01.010.006.009 - Marcação De Alvenaria - 7º Pav. Tipo</v>
          </cell>
          <cell r="J490" t="str">
            <v>3 - CUSTOS DIRETOS</v>
          </cell>
          <cell r="K490" t="str">
            <v>3 - CUSTOS DIRETOS1.010.006.009</v>
          </cell>
          <cell r="L490">
            <v>0</v>
          </cell>
          <cell r="N490">
            <v>116.57</v>
          </cell>
          <cell r="O490">
            <v>0</v>
          </cell>
          <cell r="P490">
            <v>0</v>
          </cell>
          <cell r="Q490">
            <v>0</v>
          </cell>
          <cell r="R490">
            <v>116.57</v>
          </cell>
          <cell r="T490">
            <v>0</v>
          </cell>
          <cell r="U490">
            <v>116.57</v>
          </cell>
          <cell r="V490">
            <v>-116.57</v>
          </cell>
        </row>
        <row r="491">
          <cell r="D491" t="str">
            <v>Marcação De Alvenaria - 8º Pav. Tipo</v>
          </cell>
          <cell r="E491">
            <v>0</v>
          </cell>
          <cell r="F491" t="str">
            <v>vb</v>
          </cell>
          <cell r="G491">
            <v>0</v>
          </cell>
          <cell r="H491">
            <v>0</v>
          </cell>
          <cell r="I491" t="str">
            <v>01.010.006.010 - Marcação De Alvenaria - 8º Pav. Tipo</v>
          </cell>
          <cell r="J491" t="str">
            <v>3 - CUSTOS DIRETOS</v>
          </cell>
          <cell r="K491" t="str">
            <v>3 - CUSTOS DIRETOS1.010.006.010</v>
          </cell>
          <cell r="L491">
            <v>0</v>
          </cell>
          <cell r="N491">
            <v>146.57</v>
          </cell>
          <cell r="O491">
            <v>0</v>
          </cell>
          <cell r="P491">
            <v>0</v>
          </cell>
          <cell r="Q491">
            <v>0</v>
          </cell>
          <cell r="R491">
            <v>146.57</v>
          </cell>
          <cell r="T491">
            <v>0</v>
          </cell>
          <cell r="U491">
            <v>146.57</v>
          </cell>
          <cell r="V491">
            <v>-146.57</v>
          </cell>
        </row>
        <row r="492">
          <cell r="D492" t="str">
            <v>Marcação De Alvenaria - 9º Pav. Tipo</v>
          </cell>
          <cell r="E492">
            <v>0</v>
          </cell>
          <cell r="F492" t="str">
            <v>vb</v>
          </cell>
          <cell r="G492">
            <v>0</v>
          </cell>
          <cell r="H492">
            <v>0</v>
          </cell>
          <cell r="I492" t="str">
            <v>01.010.006.011 - Marcação De Alvenaria - 9º Pav. Tipo</v>
          </cell>
          <cell r="J492" t="str">
            <v>3 - CUSTOS DIRETOS</v>
          </cell>
          <cell r="K492" t="str">
            <v>3 - CUSTOS DIRETOS1.010.006.011</v>
          </cell>
          <cell r="L492">
            <v>0</v>
          </cell>
          <cell r="N492">
            <v>185.99</v>
          </cell>
          <cell r="O492">
            <v>0</v>
          </cell>
          <cell r="P492">
            <v>0</v>
          </cell>
          <cell r="Q492">
            <v>0</v>
          </cell>
          <cell r="R492">
            <v>185.99</v>
          </cell>
          <cell r="T492">
            <v>0</v>
          </cell>
          <cell r="U492">
            <v>185.99</v>
          </cell>
          <cell r="V492">
            <v>-185.99</v>
          </cell>
        </row>
        <row r="493">
          <cell r="D493" t="str">
            <v>Marcação De Alvenaria - 10º Pav. Tipo</v>
          </cell>
          <cell r="E493">
            <v>0</v>
          </cell>
          <cell r="F493" t="str">
            <v>vb</v>
          </cell>
          <cell r="G493">
            <v>0</v>
          </cell>
          <cell r="H493">
            <v>0</v>
          </cell>
          <cell r="I493" t="str">
            <v>01.010.006.012 - Marcação De Alvenaria - 10º Pav. Tipo</v>
          </cell>
          <cell r="J493" t="str">
            <v>3 - CUSTOS DIRETOS</v>
          </cell>
          <cell r="K493" t="str">
            <v>3 - CUSTOS DIRETOS1.010.006.012</v>
          </cell>
          <cell r="L493">
            <v>0</v>
          </cell>
          <cell r="N493">
            <v>234.49</v>
          </cell>
          <cell r="O493">
            <v>0</v>
          </cell>
          <cell r="P493">
            <v>0</v>
          </cell>
          <cell r="Q493">
            <v>0</v>
          </cell>
          <cell r="R493">
            <v>234.49</v>
          </cell>
          <cell r="T493">
            <v>0</v>
          </cell>
          <cell r="U493">
            <v>234.49</v>
          </cell>
          <cell r="V493">
            <v>-234.49</v>
          </cell>
        </row>
        <row r="494">
          <cell r="D494" t="str">
            <v>Marcação De Alvenaria - 11º Pav. Tipo</v>
          </cell>
          <cell r="E494">
            <v>0</v>
          </cell>
          <cell r="F494" t="str">
            <v>vb</v>
          </cell>
          <cell r="G494">
            <v>0</v>
          </cell>
          <cell r="H494">
            <v>0</v>
          </cell>
          <cell r="I494" t="str">
            <v>01.010.006.013 - Marcação De Alvenaria - 11º Pav. Tipo</v>
          </cell>
          <cell r="J494" t="str">
            <v>3 - CUSTOS DIRETOS</v>
          </cell>
          <cell r="K494" t="str">
            <v>3 - CUSTOS DIRETOS1.010.006.013</v>
          </cell>
          <cell r="L494">
            <v>0</v>
          </cell>
          <cell r="N494">
            <v>165.07</v>
          </cell>
          <cell r="O494">
            <v>0</v>
          </cell>
          <cell r="P494">
            <v>0</v>
          </cell>
          <cell r="Q494">
            <v>0</v>
          </cell>
          <cell r="R494">
            <v>165.07</v>
          </cell>
          <cell r="T494">
            <v>0</v>
          </cell>
          <cell r="U494">
            <v>165.07</v>
          </cell>
          <cell r="V494">
            <v>-165.07</v>
          </cell>
        </row>
        <row r="495">
          <cell r="D495" t="str">
            <v>Marcação De Alvenaria - 12º Pav. Tipo</v>
          </cell>
          <cell r="E495">
            <v>0</v>
          </cell>
          <cell r="F495" t="str">
            <v>vb</v>
          </cell>
          <cell r="G495">
            <v>0</v>
          </cell>
          <cell r="H495">
            <v>0</v>
          </cell>
          <cell r="I495" t="str">
            <v>01.010.006.014 - Marcação De Alvenaria - 12º Pav. Tipo</v>
          </cell>
          <cell r="J495" t="str">
            <v>3 - CUSTOS DIRETOS</v>
          </cell>
          <cell r="K495" t="str">
            <v>3 - CUSTOS DIRETOS1.010.006.014</v>
          </cell>
          <cell r="L495">
            <v>0</v>
          </cell>
          <cell r="N495">
            <v>116.57</v>
          </cell>
          <cell r="O495">
            <v>0</v>
          </cell>
          <cell r="P495">
            <v>0</v>
          </cell>
          <cell r="Q495">
            <v>0</v>
          </cell>
          <cell r="R495">
            <v>116.57</v>
          </cell>
          <cell r="T495">
            <v>0</v>
          </cell>
          <cell r="U495">
            <v>116.57</v>
          </cell>
          <cell r="V495">
            <v>-116.57</v>
          </cell>
        </row>
        <row r="496">
          <cell r="D496" t="str">
            <v>Marcação De Alvenaria - 13º Pav. Tipo</v>
          </cell>
          <cell r="E496">
            <v>0</v>
          </cell>
          <cell r="F496" t="str">
            <v>vb</v>
          </cell>
          <cell r="G496">
            <v>0</v>
          </cell>
          <cell r="H496">
            <v>0</v>
          </cell>
          <cell r="I496" t="str">
            <v>01.010.006.015 - Marcação De Alvenaria - 13º Pav. Tipo</v>
          </cell>
          <cell r="J496" t="str">
            <v>3 - CUSTOS DIRETOS</v>
          </cell>
          <cell r="K496" t="str">
            <v>3 - CUSTOS DIRETOS1.010.006.015</v>
          </cell>
          <cell r="L496">
            <v>0</v>
          </cell>
          <cell r="N496">
            <v>140.49</v>
          </cell>
          <cell r="O496">
            <v>0</v>
          </cell>
          <cell r="P496">
            <v>0</v>
          </cell>
          <cell r="Q496">
            <v>0</v>
          </cell>
          <cell r="R496">
            <v>140.49</v>
          </cell>
          <cell r="T496">
            <v>0</v>
          </cell>
          <cell r="U496">
            <v>140.49</v>
          </cell>
          <cell r="V496">
            <v>-140.49</v>
          </cell>
        </row>
        <row r="497">
          <cell r="D497" t="str">
            <v>Marcação De Alvenaria - 14º Pav. Tipo</v>
          </cell>
          <cell r="E497">
            <v>0</v>
          </cell>
          <cell r="F497" t="str">
            <v>vb</v>
          </cell>
          <cell r="G497">
            <v>0</v>
          </cell>
          <cell r="H497">
            <v>0</v>
          </cell>
          <cell r="I497" t="str">
            <v>01.010.006.016 - Marcação De Alvenaria - 14º Pav. Tipo</v>
          </cell>
          <cell r="J497" t="str">
            <v>3 - CUSTOS DIRETOS</v>
          </cell>
          <cell r="K497" t="str">
            <v>3 - CUSTOS DIRETOS1.010.006.016</v>
          </cell>
          <cell r="L497">
            <v>0</v>
          </cell>
          <cell r="N497">
            <v>247.86</v>
          </cell>
          <cell r="O497">
            <v>20</v>
          </cell>
          <cell r="P497">
            <v>0</v>
          </cell>
          <cell r="Q497">
            <v>0</v>
          </cell>
          <cell r="R497">
            <v>267.86</v>
          </cell>
          <cell r="T497">
            <v>0</v>
          </cell>
          <cell r="U497">
            <v>267.86</v>
          </cell>
          <cell r="V497">
            <v>-267.86</v>
          </cell>
        </row>
        <row r="498">
          <cell r="D498" t="str">
            <v>Marcação De Alvenaria - 15º Pav. Tipo</v>
          </cell>
          <cell r="E498">
            <v>0</v>
          </cell>
          <cell r="F498" t="str">
            <v>vb</v>
          </cell>
          <cell r="G498">
            <v>0</v>
          </cell>
          <cell r="H498">
            <v>0</v>
          </cell>
          <cell r="I498" t="str">
            <v>01.010.006.017 - Marcação De Alvenaria - 15º Pav. Tipo</v>
          </cell>
          <cell r="J498" t="str">
            <v>3 - CUSTOS DIRETOS</v>
          </cell>
          <cell r="K498" t="str">
            <v>3 - CUSTOS DIRETOS1.010.006.017</v>
          </cell>
          <cell r="L498">
            <v>0</v>
          </cell>
          <cell r="N498">
            <v>56.230000000000004</v>
          </cell>
          <cell r="O498">
            <v>20</v>
          </cell>
          <cell r="P498">
            <v>0</v>
          </cell>
          <cell r="Q498">
            <v>0</v>
          </cell>
          <cell r="R498">
            <v>76.23</v>
          </cell>
          <cell r="T498">
            <v>0</v>
          </cell>
          <cell r="U498">
            <v>76.23</v>
          </cell>
          <cell r="V498">
            <v>-76.23</v>
          </cell>
        </row>
        <row r="499">
          <cell r="D499" t="str">
            <v>Marcação De Alvenaria - Cobertura</v>
          </cell>
          <cell r="E499">
            <v>107.1</v>
          </cell>
          <cell r="F499" t="str">
            <v>vb</v>
          </cell>
          <cell r="G499">
            <v>1127.4000000000001</v>
          </cell>
          <cell r="H499">
            <v>0</v>
          </cell>
          <cell r="I499" t="str">
            <v>01.010.006.018 - Marcação De Alvenaria - Cobertura</v>
          </cell>
          <cell r="J499" t="str">
            <v>3 - CUSTOS DIRETOS</v>
          </cell>
          <cell r="K499" t="str">
            <v>3 - CUSTOS DIRETOS1.010.006.018</v>
          </cell>
          <cell r="L499">
            <v>1127.4000000000001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T499">
            <v>0</v>
          </cell>
          <cell r="U499">
            <v>0</v>
          </cell>
          <cell r="V499">
            <v>1127.4000000000001</v>
          </cell>
        </row>
        <row r="500">
          <cell r="D500" t="str">
            <v>ENCUNHAMENTO DE ALVENARIA COM ARGAMASSA</v>
          </cell>
          <cell r="I500" t="str">
            <v>01.010.007 - ENCUNHAMENTO DE ALVENARIA COM ARGAMASSA</v>
          </cell>
          <cell r="J500" t="str">
            <v>3 - CUSTOS DIRETOS</v>
          </cell>
          <cell r="K500" t="str">
            <v>3 - CUSTOS DIRETOS1.010.007</v>
          </cell>
          <cell r="L500">
            <v>5720.5300000000007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T500">
            <v>4916.84</v>
          </cell>
          <cell r="U500">
            <v>4916.84</v>
          </cell>
          <cell r="V500">
            <v>803.69000000000051</v>
          </cell>
        </row>
        <row r="501">
          <cell r="D501" t="str">
            <v>Encunhamento De Alvenaria Com Argamassa - Subsolo</v>
          </cell>
          <cell r="E501">
            <v>240.43</v>
          </cell>
          <cell r="F501" t="str">
            <v>vb</v>
          </cell>
          <cell r="G501">
            <v>1804.21</v>
          </cell>
          <cell r="H501">
            <v>0</v>
          </cell>
          <cell r="I501" t="str">
            <v>01.010.007.001 - Encunhamento De Alvenaria Com Argamassa - Subsolo</v>
          </cell>
          <cell r="J501" t="str">
            <v>3 - CUSTOS DIRETOS</v>
          </cell>
          <cell r="K501" t="str">
            <v>3 - CUSTOS DIRETOS1.010.007.001</v>
          </cell>
          <cell r="L501">
            <v>1804.21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T501">
            <v>1804.21</v>
          </cell>
          <cell r="U501">
            <v>1804.21</v>
          </cell>
          <cell r="V501">
            <v>0</v>
          </cell>
        </row>
        <row r="502">
          <cell r="D502" t="str">
            <v>Encunhamento De Alvenaria Com Argamassa - Térreo</v>
          </cell>
          <cell r="E502">
            <v>414.79</v>
          </cell>
          <cell r="F502" t="str">
            <v>vb</v>
          </cell>
          <cell r="G502">
            <v>3112.63</v>
          </cell>
          <cell r="H502">
            <v>0</v>
          </cell>
          <cell r="I502" t="str">
            <v>01.010.007.002 - Encunhamento De Alvenaria Com Argamassa - Térreo</v>
          </cell>
          <cell r="J502" t="str">
            <v>3 - CUSTOS DIRETOS</v>
          </cell>
          <cell r="K502" t="str">
            <v>3 - CUSTOS DIRETOS1.010.007.002</v>
          </cell>
          <cell r="L502">
            <v>3112.63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T502">
            <v>3112.63</v>
          </cell>
          <cell r="U502">
            <v>3112.63</v>
          </cell>
          <cell r="V502">
            <v>0</v>
          </cell>
        </row>
        <row r="503">
          <cell r="D503" t="str">
            <v>Encunhamento De Alvenaria Com Argamassa - 1º Pav. Tipo</v>
          </cell>
          <cell r="E503">
            <v>0</v>
          </cell>
          <cell r="F503" t="str">
            <v>vb</v>
          </cell>
          <cell r="G503">
            <v>0</v>
          </cell>
          <cell r="H503">
            <v>0</v>
          </cell>
          <cell r="I503" t="str">
            <v>01.010.007.003 - Encunhamento De Alvenaria Com Argamassa - 1º Pav. Tipo</v>
          </cell>
          <cell r="J503" t="str">
            <v>3 - CUSTOS DIRETOS</v>
          </cell>
          <cell r="K503" t="str">
            <v>3 - CUSTOS DIRETOS1.010.007.003</v>
          </cell>
          <cell r="L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D504" t="str">
            <v>Encunhamento De Alvenaria Com Argamassa - 2º Pav. Tipo</v>
          </cell>
          <cell r="E504">
            <v>0</v>
          </cell>
          <cell r="F504" t="str">
            <v>vb</v>
          </cell>
          <cell r="G504">
            <v>0</v>
          </cell>
          <cell r="H504">
            <v>0</v>
          </cell>
          <cell r="I504" t="str">
            <v>01.010.007.004 - Encunhamento De Alvenaria Com Argamassa - 2º Pav. Tipo</v>
          </cell>
          <cell r="J504" t="str">
            <v>3 - CUSTOS DIRETOS</v>
          </cell>
          <cell r="K504" t="str">
            <v>3 - CUSTOS DIRETOS1.010.007.004</v>
          </cell>
          <cell r="L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D505" t="str">
            <v>Encunhamento De Alvenaria Com Argamassa - 3º Pav. Tipo</v>
          </cell>
          <cell r="E505">
            <v>0</v>
          </cell>
          <cell r="F505" t="str">
            <v>vb</v>
          </cell>
          <cell r="G505">
            <v>0</v>
          </cell>
          <cell r="H505">
            <v>0</v>
          </cell>
          <cell r="I505" t="str">
            <v>01.010.007.005 - Encunhamento De Alvenaria Com Argamassa - 3º Pav. Tipo</v>
          </cell>
          <cell r="J505" t="str">
            <v>3 - CUSTOS DIRETOS</v>
          </cell>
          <cell r="K505" t="str">
            <v>3 - CUSTOS DIRETOS1.010.007.005</v>
          </cell>
          <cell r="L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D506" t="str">
            <v>Encunhamento De Alvenaria Com Argamassa - 4º Pav. Tipo</v>
          </cell>
          <cell r="E506">
            <v>0</v>
          </cell>
          <cell r="F506" t="str">
            <v>vb</v>
          </cell>
          <cell r="G506">
            <v>0</v>
          </cell>
          <cell r="H506">
            <v>0</v>
          </cell>
          <cell r="I506" t="str">
            <v>01.010.007.006 - Encunhamento De Alvenaria Com Argamassa - 4º Pav. Tipo</v>
          </cell>
          <cell r="J506" t="str">
            <v>3 - CUSTOS DIRETOS</v>
          </cell>
          <cell r="K506" t="str">
            <v>3 - CUSTOS DIRETOS1.010.007.006</v>
          </cell>
          <cell r="L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D507" t="str">
            <v>Encunhamento De Alvenaria Com Argamassa - 5º Pav. Tipo</v>
          </cell>
          <cell r="E507">
            <v>0</v>
          </cell>
          <cell r="F507" t="str">
            <v>vb</v>
          </cell>
          <cell r="G507">
            <v>0</v>
          </cell>
          <cell r="H507">
            <v>0</v>
          </cell>
          <cell r="I507" t="str">
            <v>01.010.007.007 - Encunhamento De Alvenaria Com Argamassa - 5º Pav. Tipo</v>
          </cell>
          <cell r="J507" t="str">
            <v>3 - CUSTOS DIRETOS</v>
          </cell>
          <cell r="K507" t="str">
            <v>3 - CUSTOS DIRETOS1.010.007.007</v>
          </cell>
          <cell r="L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D508" t="str">
            <v>Encunhamento De Alvenaria Com Argamassa - 6º Pav. Tipo</v>
          </cell>
          <cell r="E508">
            <v>0</v>
          </cell>
          <cell r="F508" t="str">
            <v>vb</v>
          </cell>
          <cell r="G508">
            <v>0</v>
          </cell>
          <cell r="H508">
            <v>0</v>
          </cell>
          <cell r="I508" t="str">
            <v>01.010.007.008 - Encunhamento De Alvenaria Com Argamassa - 6º Pav. Tipo</v>
          </cell>
          <cell r="J508" t="str">
            <v>3 - CUSTOS DIRETOS</v>
          </cell>
          <cell r="K508" t="str">
            <v>3 - CUSTOS DIRETOS1.010.007.008</v>
          </cell>
          <cell r="L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D509" t="str">
            <v>Encunhamento De Alvenaria Com Argamassa - 7º Pav. Tipo</v>
          </cell>
          <cell r="E509">
            <v>0</v>
          </cell>
          <cell r="F509" t="str">
            <v>vb</v>
          </cell>
          <cell r="G509">
            <v>0</v>
          </cell>
          <cell r="H509">
            <v>0</v>
          </cell>
          <cell r="I509" t="str">
            <v>01.010.007.009 - Encunhamento De Alvenaria Com Argamassa - 7º Pav. Tipo</v>
          </cell>
          <cell r="J509" t="str">
            <v>3 - CUSTOS DIRETOS</v>
          </cell>
          <cell r="K509" t="str">
            <v>3 - CUSTOS DIRETOS1.010.007.009</v>
          </cell>
          <cell r="L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D510" t="str">
            <v>Encunhamento De Alvenaria Com Argamassa - 8º Pav. Tipo</v>
          </cell>
          <cell r="E510">
            <v>0</v>
          </cell>
          <cell r="F510" t="str">
            <v>vb</v>
          </cell>
          <cell r="G510">
            <v>0</v>
          </cell>
          <cell r="H510">
            <v>0</v>
          </cell>
          <cell r="I510" t="str">
            <v>01.010.007.010 - Encunhamento De Alvenaria Com Argamassa - 8º Pav. Tipo</v>
          </cell>
          <cell r="J510" t="str">
            <v>3 - CUSTOS DIRETOS</v>
          </cell>
          <cell r="K510" t="str">
            <v>3 - CUSTOS DIRETOS1.010.007.010</v>
          </cell>
          <cell r="L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D511" t="str">
            <v>Encunhamento De Alvenaria Com Argamassa - 9º Pav. Tipo</v>
          </cell>
          <cell r="E511">
            <v>0</v>
          </cell>
          <cell r="F511" t="str">
            <v>vb</v>
          </cell>
          <cell r="G511">
            <v>0</v>
          </cell>
          <cell r="H511">
            <v>0</v>
          </cell>
          <cell r="I511" t="str">
            <v>01.010.007.011 - Encunhamento De Alvenaria Com Argamassa - 9º Pav. Tipo</v>
          </cell>
          <cell r="J511" t="str">
            <v>3 - CUSTOS DIRETOS</v>
          </cell>
          <cell r="K511" t="str">
            <v>3 - CUSTOS DIRETOS1.010.007.011</v>
          </cell>
          <cell r="L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D512" t="str">
            <v>Encunhamento De Alvenaria Com Argamassa - 10º Pav. Tipo</v>
          </cell>
          <cell r="E512">
            <v>0</v>
          </cell>
          <cell r="F512" t="str">
            <v>vb</v>
          </cell>
          <cell r="G512">
            <v>0</v>
          </cell>
          <cell r="H512">
            <v>0</v>
          </cell>
          <cell r="I512" t="str">
            <v>01.010.007.012 - Encunhamento De Alvenaria Com Argamassa - 10º Pav. Tipo</v>
          </cell>
          <cell r="J512" t="str">
            <v>3 - CUSTOS DIRETOS</v>
          </cell>
          <cell r="K512" t="str">
            <v>3 - CUSTOS DIRETOS1.010.007.012</v>
          </cell>
          <cell r="L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D513" t="str">
            <v>Encunhamento De Alvenaria Com Argamassa - 11º Pav. Tipo</v>
          </cell>
          <cell r="E513">
            <v>0</v>
          </cell>
          <cell r="F513" t="str">
            <v>vb</v>
          </cell>
          <cell r="G513">
            <v>0</v>
          </cell>
          <cell r="H513">
            <v>0</v>
          </cell>
          <cell r="I513" t="str">
            <v>01.010.007.013 - Encunhamento De Alvenaria Com Argamassa - 11º Pav. Tipo</v>
          </cell>
          <cell r="J513" t="str">
            <v>3 - CUSTOS DIRETOS</v>
          </cell>
          <cell r="K513" t="str">
            <v>3 - CUSTOS DIRETOS1.010.007.013</v>
          </cell>
          <cell r="L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D514" t="str">
            <v>Encunhamento De Alvenaria Com Argamassa - 12º Pav. Tipo</v>
          </cell>
          <cell r="E514">
            <v>0</v>
          </cell>
          <cell r="F514" t="str">
            <v>vb</v>
          </cell>
          <cell r="G514">
            <v>0</v>
          </cell>
          <cell r="H514">
            <v>0</v>
          </cell>
          <cell r="I514" t="str">
            <v>01.010.007.014 - Encunhamento De Alvenaria Com Argamassa - 12º Pav. Tipo</v>
          </cell>
          <cell r="J514" t="str">
            <v>3 - CUSTOS DIRETOS</v>
          </cell>
          <cell r="K514" t="str">
            <v>3 - CUSTOS DIRETOS1.010.007.014</v>
          </cell>
          <cell r="L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D515" t="str">
            <v>Encunhamento De Alvenaria Com Argamassa - 13º Pav. Tipo</v>
          </cell>
          <cell r="E515">
            <v>0</v>
          </cell>
          <cell r="F515" t="str">
            <v>vb</v>
          </cell>
          <cell r="G515">
            <v>0</v>
          </cell>
          <cell r="H515">
            <v>0</v>
          </cell>
          <cell r="I515" t="str">
            <v>01.010.007.015 - Encunhamento De Alvenaria Com Argamassa - 13º Pav. Tipo</v>
          </cell>
          <cell r="J515" t="str">
            <v>3 - CUSTOS DIRETOS</v>
          </cell>
          <cell r="K515" t="str">
            <v>3 - CUSTOS DIRETOS1.010.007.015</v>
          </cell>
          <cell r="L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D516" t="str">
            <v>Encunhamento De Alvenaria Com Argamassa - 14º Pav. Tipo</v>
          </cell>
          <cell r="E516">
            <v>0</v>
          </cell>
          <cell r="F516" t="str">
            <v>vb</v>
          </cell>
          <cell r="G516">
            <v>0</v>
          </cell>
          <cell r="H516">
            <v>0</v>
          </cell>
          <cell r="I516" t="str">
            <v>01.010.007.016 - Encunhamento De Alvenaria Com Argamassa - 14º Pav. Tipo</v>
          </cell>
          <cell r="J516" t="str">
            <v>3 - CUSTOS DIRETOS</v>
          </cell>
          <cell r="K516" t="str">
            <v>3 - CUSTOS DIRETOS1.010.007.016</v>
          </cell>
          <cell r="L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D517" t="str">
            <v>Encunhamento De Alvenaria Com Argamassa - 15º Pav. Tipo</v>
          </cell>
          <cell r="E517">
            <v>0</v>
          </cell>
          <cell r="F517" t="str">
            <v>vb</v>
          </cell>
          <cell r="G517">
            <v>0</v>
          </cell>
          <cell r="H517">
            <v>0</v>
          </cell>
          <cell r="I517" t="str">
            <v>01.010.007.017 - Encunhamento De Alvenaria Com Argamassa - 15º Pav. Tipo</v>
          </cell>
          <cell r="J517" t="str">
            <v>3 - CUSTOS DIRETOS</v>
          </cell>
          <cell r="K517" t="str">
            <v>3 - CUSTOS DIRETOS1.010.007.017</v>
          </cell>
          <cell r="L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D518" t="str">
            <v>Encunhamento De Alvenaria Com Argamassa - Cobertura</v>
          </cell>
          <cell r="E518">
            <v>107.1</v>
          </cell>
          <cell r="F518" t="str">
            <v>vb</v>
          </cell>
          <cell r="G518">
            <v>803.69</v>
          </cell>
          <cell r="H518">
            <v>0</v>
          </cell>
          <cell r="I518" t="str">
            <v>01.010.007.018 - Encunhamento De Alvenaria Com Argamassa - Cobertura</v>
          </cell>
          <cell r="J518" t="str">
            <v>3 - CUSTOS DIRETOS</v>
          </cell>
          <cell r="K518" t="str">
            <v>3 - CUSTOS DIRETOS1.010.007.018</v>
          </cell>
          <cell r="L518">
            <v>803.69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T518">
            <v>0</v>
          </cell>
          <cell r="U518">
            <v>0</v>
          </cell>
          <cell r="V518">
            <v>803.69</v>
          </cell>
        </row>
        <row r="519">
          <cell r="D519" t="str">
            <v>PAREDE DRYWALL RU</v>
          </cell>
          <cell r="I519" t="str">
            <v>01.010.008 - PAREDE DRYWALL RU</v>
          </cell>
          <cell r="J519" t="str">
            <v>3 - CUSTOS DIRETOS</v>
          </cell>
          <cell r="K519" t="str">
            <v>3 - CUSTOS DIRETOS1.010.008</v>
          </cell>
          <cell r="L519">
            <v>330625.79999999993</v>
          </cell>
          <cell r="N519">
            <v>186672.05</v>
          </cell>
          <cell r="O519">
            <v>0</v>
          </cell>
          <cell r="P519">
            <v>0</v>
          </cell>
          <cell r="Q519">
            <v>0</v>
          </cell>
          <cell r="R519">
            <v>186672.05</v>
          </cell>
          <cell r="T519">
            <v>60000</v>
          </cell>
          <cell r="U519">
            <v>246672.05</v>
          </cell>
          <cell r="V519">
            <v>83953.749999999942</v>
          </cell>
        </row>
        <row r="520">
          <cell r="D520" t="str">
            <v>Parede Drywall Ru - Subsolo</v>
          </cell>
          <cell r="E520">
            <v>0</v>
          </cell>
          <cell r="F520" t="str">
            <v>vb</v>
          </cell>
          <cell r="G520">
            <v>0</v>
          </cell>
          <cell r="H520">
            <v>0</v>
          </cell>
          <cell r="I520" t="str">
            <v>01.010.008.001 - Parede Drywall Ru - Subsolo</v>
          </cell>
          <cell r="J520" t="str">
            <v>3 - CUSTOS DIRETOS</v>
          </cell>
          <cell r="K520" t="str">
            <v>3 - CUSTOS DIRETOS1.010.008.001</v>
          </cell>
          <cell r="L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D521" t="str">
            <v>Parede Drywall Ru - Térreo</v>
          </cell>
          <cell r="E521">
            <v>0</v>
          </cell>
          <cell r="F521" t="str">
            <v>vb</v>
          </cell>
          <cell r="G521">
            <v>0</v>
          </cell>
          <cell r="H521">
            <v>0</v>
          </cell>
          <cell r="I521" t="str">
            <v>01.010.008.002 - Parede Drywall Ru - Térreo</v>
          </cell>
          <cell r="J521" t="str">
            <v>3 - CUSTOS DIRETOS</v>
          </cell>
          <cell r="K521" t="str">
            <v>3 - CUSTOS DIRETOS1.010.008.002</v>
          </cell>
          <cell r="L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D522" t="str">
            <v>Parede Drywall Ru - 1º Pav. Tipo</v>
          </cell>
          <cell r="E522">
            <v>154.82</v>
          </cell>
          <cell r="F522" t="str">
            <v>vb</v>
          </cell>
          <cell r="G522">
            <v>22041.72</v>
          </cell>
          <cell r="H522">
            <v>0</v>
          </cell>
          <cell r="I522" t="str">
            <v>01.010.008.003 - Parede Drywall Ru - 1º Pav. Tipo</v>
          </cell>
          <cell r="J522" t="str">
            <v>3 - CUSTOS DIRETOS</v>
          </cell>
          <cell r="K522" t="str">
            <v>3 - CUSTOS DIRETOS1.010.008.003</v>
          </cell>
          <cell r="L522">
            <v>22041.72</v>
          </cell>
          <cell r="N522">
            <v>11298.850000000002</v>
          </cell>
          <cell r="O522">
            <v>0</v>
          </cell>
          <cell r="P522">
            <v>0</v>
          </cell>
          <cell r="Q522">
            <v>0</v>
          </cell>
          <cell r="R522">
            <v>11298.850000000002</v>
          </cell>
          <cell r="T522">
            <v>4000</v>
          </cell>
          <cell r="U522">
            <v>15298.850000000002</v>
          </cell>
          <cell r="V522">
            <v>6742.869999999999</v>
          </cell>
        </row>
        <row r="523">
          <cell r="D523" t="str">
            <v>Parede Drywall Ru - 2º Pav. Tipo</v>
          </cell>
          <cell r="E523">
            <v>154.82</v>
          </cell>
          <cell r="F523" t="str">
            <v>vb</v>
          </cell>
          <cell r="G523">
            <v>22041.72</v>
          </cell>
          <cell r="H523">
            <v>0</v>
          </cell>
          <cell r="I523" t="str">
            <v>01.010.008.004 - Parede Drywall Ru - 2º Pav. Tipo</v>
          </cell>
          <cell r="J523" t="str">
            <v>3 - CUSTOS DIRETOS</v>
          </cell>
          <cell r="K523" t="str">
            <v>3 - CUSTOS DIRETOS1.010.008.004</v>
          </cell>
          <cell r="L523">
            <v>22041.72</v>
          </cell>
          <cell r="N523">
            <v>15173.440000000002</v>
          </cell>
          <cell r="O523">
            <v>0</v>
          </cell>
          <cell r="P523">
            <v>0</v>
          </cell>
          <cell r="Q523">
            <v>0</v>
          </cell>
          <cell r="R523">
            <v>15173.440000000002</v>
          </cell>
          <cell r="T523">
            <v>4000</v>
          </cell>
          <cell r="U523">
            <v>19173.440000000002</v>
          </cell>
          <cell r="V523">
            <v>2868.2799999999988</v>
          </cell>
        </row>
        <row r="524">
          <cell r="D524" t="str">
            <v>Parede Drywall Ru - 3º Pav. Tipo</v>
          </cell>
          <cell r="E524">
            <v>154.82</v>
          </cell>
          <cell r="F524" t="str">
            <v>vb</v>
          </cell>
          <cell r="G524">
            <v>22041.72</v>
          </cell>
          <cell r="H524">
            <v>0</v>
          </cell>
          <cell r="I524" t="str">
            <v>01.010.008.005 - Parede Drywall Ru - 3º Pav. Tipo</v>
          </cell>
          <cell r="J524" t="str">
            <v>3 - CUSTOS DIRETOS</v>
          </cell>
          <cell r="K524" t="str">
            <v>3 - CUSTOS DIRETOS1.010.008.005</v>
          </cell>
          <cell r="L524">
            <v>22041.72</v>
          </cell>
          <cell r="N524">
            <v>14697.250000000004</v>
          </cell>
          <cell r="O524">
            <v>0</v>
          </cell>
          <cell r="P524">
            <v>0</v>
          </cell>
          <cell r="Q524">
            <v>0</v>
          </cell>
          <cell r="R524">
            <v>14697.250000000004</v>
          </cell>
          <cell r="T524">
            <v>4000</v>
          </cell>
          <cell r="U524">
            <v>18697.250000000004</v>
          </cell>
          <cell r="V524">
            <v>3344.4699999999975</v>
          </cell>
        </row>
        <row r="525">
          <cell r="D525" t="str">
            <v>Parede Drywall Ru - 4º Pav. Tipo</v>
          </cell>
          <cell r="E525">
            <v>154.82</v>
          </cell>
          <cell r="F525" t="str">
            <v>vb</v>
          </cell>
          <cell r="G525">
            <v>22041.72</v>
          </cell>
          <cell r="H525">
            <v>0</v>
          </cell>
          <cell r="I525" t="str">
            <v>01.010.008.006 - Parede Drywall Ru - 4º Pav. Tipo</v>
          </cell>
          <cell r="J525" t="str">
            <v>3 - CUSTOS DIRETOS</v>
          </cell>
          <cell r="K525" t="str">
            <v>3 - CUSTOS DIRETOS1.010.008.006</v>
          </cell>
          <cell r="L525">
            <v>22041.72</v>
          </cell>
          <cell r="N525">
            <v>13470.450000000003</v>
          </cell>
          <cell r="O525">
            <v>0</v>
          </cell>
          <cell r="P525">
            <v>0</v>
          </cell>
          <cell r="Q525">
            <v>0</v>
          </cell>
          <cell r="R525">
            <v>13470.450000000003</v>
          </cell>
          <cell r="T525">
            <v>4000</v>
          </cell>
          <cell r="U525">
            <v>17470.450000000004</v>
          </cell>
          <cell r="V525">
            <v>4571.2699999999968</v>
          </cell>
        </row>
        <row r="526">
          <cell r="D526" t="str">
            <v>Parede Drywall Ru - 5º Pav. Tipo</v>
          </cell>
          <cell r="E526">
            <v>154.82</v>
          </cell>
          <cell r="F526" t="str">
            <v>vb</v>
          </cell>
          <cell r="G526">
            <v>22041.72</v>
          </cell>
          <cell r="H526">
            <v>0</v>
          </cell>
          <cell r="I526" t="str">
            <v>01.010.008.007 - Parede Drywall Ru - 5º Pav. Tipo</v>
          </cell>
          <cell r="J526" t="str">
            <v>3 - CUSTOS DIRETOS</v>
          </cell>
          <cell r="K526" t="str">
            <v>3 - CUSTOS DIRETOS1.010.008.007</v>
          </cell>
          <cell r="L526">
            <v>22041.72</v>
          </cell>
          <cell r="N526">
            <v>16459.350000000002</v>
          </cell>
          <cell r="O526">
            <v>0</v>
          </cell>
          <cell r="P526">
            <v>0</v>
          </cell>
          <cell r="Q526">
            <v>0</v>
          </cell>
          <cell r="R526">
            <v>16459.350000000002</v>
          </cell>
          <cell r="T526">
            <v>4000</v>
          </cell>
          <cell r="U526">
            <v>20459.350000000002</v>
          </cell>
          <cell r="V526">
            <v>1582.369999999999</v>
          </cell>
        </row>
        <row r="527">
          <cell r="D527" t="str">
            <v>Parede Drywall Ru - 6º Pav. Tipo</v>
          </cell>
          <cell r="E527">
            <v>154.82</v>
          </cell>
          <cell r="F527" t="str">
            <v>vb</v>
          </cell>
          <cell r="G527">
            <v>22041.72</v>
          </cell>
          <cell r="H527">
            <v>0</v>
          </cell>
          <cell r="I527" t="str">
            <v>01.010.008.008 - Parede Drywall Ru - 6º Pav. Tipo</v>
          </cell>
          <cell r="J527" t="str">
            <v>3 - CUSTOS DIRETOS</v>
          </cell>
          <cell r="K527" t="str">
            <v>3 - CUSTOS DIRETOS1.010.008.008</v>
          </cell>
          <cell r="L527">
            <v>22041.72</v>
          </cell>
          <cell r="N527">
            <v>9459.3500000000022</v>
          </cell>
          <cell r="O527">
            <v>0</v>
          </cell>
          <cell r="P527">
            <v>0</v>
          </cell>
          <cell r="Q527">
            <v>0</v>
          </cell>
          <cell r="R527">
            <v>9459.3500000000022</v>
          </cell>
          <cell r="T527">
            <v>4000</v>
          </cell>
          <cell r="U527">
            <v>13459.350000000002</v>
          </cell>
          <cell r="V527">
            <v>8582.369999999999</v>
          </cell>
        </row>
        <row r="528">
          <cell r="D528" t="str">
            <v>Parede Drywall Ru - 7º Pav. Tipo</v>
          </cell>
          <cell r="E528">
            <v>154.82</v>
          </cell>
          <cell r="F528" t="str">
            <v>vb</v>
          </cell>
          <cell r="G528">
            <v>22041.72</v>
          </cell>
          <cell r="H528">
            <v>0</v>
          </cell>
          <cell r="I528" t="str">
            <v>01.010.008.009 - Parede Drywall Ru - 7º Pav. Tipo</v>
          </cell>
          <cell r="J528" t="str">
            <v>3 - CUSTOS DIRETOS</v>
          </cell>
          <cell r="K528" t="str">
            <v>3 - CUSTOS DIRETOS1.010.008.009</v>
          </cell>
          <cell r="L528">
            <v>22041.72</v>
          </cell>
          <cell r="N528">
            <v>9592.760000000002</v>
          </cell>
          <cell r="O528">
            <v>0</v>
          </cell>
          <cell r="P528">
            <v>0</v>
          </cell>
          <cell r="Q528">
            <v>0</v>
          </cell>
          <cell r="R528">
            <v>9592.760000000002</v>
          </cell>
          <cell r="T528">
            <v>4000</v>
          </cell>
          <cell r="U528">
            <v>13592.760000000002</v>
          </cell>
          <cell r="V528">
            <v>8448.9599999999991</v>
          </cell>
        </row>
        <row r="529">
          <cell r="D529" t="str">
            <v>Parede Drywall Ru - 8º Pav. Tipo</v>
          </cell>
          <cell r="E529">
            <v>154.82</v>
          </cell>
          <cell r="F529" t="str">
            <v>vb</v>
          </cell>
          <cell r="G529">
            <v>22041.72</v>
          </cell>
          <cell r="H529">
            <v>0</v>
          </cell>
          <cell r="I529" t="str">
            <v>01.010.008.010 - Parede Drywall Ru - 8º Pav. Tipo</v>
          </cell>
          <cell r="J529" t="str">
            <v>3 - CUSTOS DIRETOS</v>
          </cell>
          <cell r="K529" t="str">
            <v>3 - CUSTOS DIRETOS1.010.008.010</v>
          </cell>
          <cell r="L529">
            <v>22041.72</v>
          </cell>
          <cell r="N529">
            <v>12789.69</v>
          </cell>
          <cell r="O529">
            <v>0</v>
          </cell>
          <cell r="P529">
            <v>0</v>
          </cell>
          <cell r="Q529">
            <v>0</v>
          </cell>
          <cell r="R529">
            <v>12789.69</v>
          </cell>
          <cell r="T529">
            <v>4000</v>
          </cell>
          <cell r="U529">
            <v>16789.690000000002</v>
          </cell>
          <cell r="V529">
            <v>5252.0299999999988</v>
          </cell>
        </row>
        <row r="530">
          <cell r="D530" t="str">
            <v>Parede Drywall Ru - 9º Pav. Tipo</v>
          </cell>
          <cell r="E530">
            <v>154.82</v>
          </cell>
          <cell r="F530" t="str">
            <v>vb</v>
          </cell>
          <cell r="G530">
            <v>22041.72</v>
          </cell>
          <cell r="H530">
            <v>0</v>
          </cell>
          <cell r="I530" t="str">
            <v>01.010.008.011 - Parede Drywall Ru - 9º Pav. Tipo</v>
          </cell>
          <cell r="J530" t="str">
            <v>3 - CUSTOS DIRETOS</v>
          </cell>
          <cell r="K530" t="str">
            <v>3 - CUSTOS DIRETOS1.010.008.011</v>
          </cell>
          <cell r="L530">
            <v>22041.72</v>
          </cell>
          <cell r="N530">
            <v>7999.6900000000005</v>
          </cell>
          <cell r="O530">
            <v>0</v>
          </cell>
          <cell r="P530">
            <v>0</v>
          </cell>
          <cell r="Q530">
            <v>0</v>
          </cell>
          <cell r="R530">
            <v>7999.6900000000005</v>
          </cell>
          <cell r="T530">
            <v>4000</v>
          </cell>
          <cell r="U530">
            <v>11999.69</v>
          </cell>
          <cell r="V530">
            <v>10042.030000000001</v>
          </cell>
        </row>
        <row r="531">
          <cell r="D531" t="str">
            <v>Parede Drywall Ru - 10º Pav. Tipo</v>
          </cell>
          <cell r="E531">
            <v>154.82</v>
          </cell>
          <cell r="F531" t="str">
            <v>vb</v>
          </cell>
          <cell r="G531">
            <v>22041.72</v>
          </cell>
          <cell r="H531">
            <v>0</v>
          </cell>
          <cell r="I531" t="str">
            <v>01.010.008.012 - Parede Drywall Ru - 10º Pav. Tipo</v>
          </cell>
          <cell r="J531" t="str">
            <v>3 - CUSTOS DIRETOS</v>
          </cell>
          <cell r="K531" t="str">
            <v>3 - CUSTOS DIRETOS1.010.008.012</v>
          </cell>
          <cell r="L531">
            <v>22041.72</v>
          </cell>
          <cell r="N531">
            <v>12449.69</v>
          </cell>
          <cell r="O531">
            <v>0</v>
          </cell>
          <cell r="P531">
            <v>0</v>
          </cell>
          <cell r="Q531">
            <v>0</v>
          </cell>
          <cell r="R531">
            <v>12449.69</v>
          </cell>
          <cell r="T531">
            <v>4000</v>
          </cell>
          <cell r="U531">
            <v>16449.690000000002</v>
          </cell>
          <cell r="V531">
            <v>5592.0299999999988</v>
          </cell>
        </row>
        <row r="532">
          <cell r="D532" t="str">
            <v>Parede Drywall Ru - 11º Pav. Tipo</v>
          </cell>
          <cell r="E532">
            <v>154.82</v>
          </cell>
          <cell r="F532" t="str">
            <v>vb</v>
          </cell>
          <cell r="G532">
            <v>22041.72</v>
          </cell>
          <cell r="H532">
            <v>0</v>
          </cell>
          <cell r="I532" t="str">
            <v>01.010.008.013 - Parede Drywall Ru - 11º Pav. Tipo</v>
          </cell>
          <cell r="J532" t="str">
            <v>3 - CUSTOS DIRETOS</v>
          </cell>
          <cell r="K532" t="str">
            <v>3 - CUSTOS DIRETOS1.010.008.013</v>
          </cell>
          <cell r="L532">
            <v>22041.72</v>
          </cell>
          <cell r="N532">
            <v>12449.69</v>
          </cell>
          <cell r="O532">
            <v>0</v>
          </cell>
          <cell r="P532">
            <v>0</v>
          </cell>
          <cell r="Q532">
            <v>0</v>
          </cell>
          <cell r="R532">
            <v>12449.69</v>
          </cell>
          <cell r="T532">
            <v>4000</v>
          </cell>
          <cell r="U532">
            <v>16449.690000000002</v>
          </cell>
          <cell r="V532">
            <v>5592.0299999999988</v>
          </cell>
        </row>
        <row r="533">
          <cell r="D533" t="str">
            <v>Parede Drywall Ru - 12º Pav. Tipo</v>
          </cell>
          <cell r="E533">
            <v>154.82</v>
          </cell>
          <cell r="F533" t="str">
            <v>vb</v>
          </cell>
          <cell r="G533">
            <v>22041.72</v>
          </cell>
          <cell r="H533">
            <v>0</v>
          </cell>
          <cell r="I533" t="str">
            <v>01.010.008.014 - Parede Drywall Ru - 12º Pav. Tipo</v>
          </cell>
          <cell r="J533" t="str">
            <v>3 - CUSTOS DIRETOS</v>
          </cell>
          <cell r="K533" t="str">
            <v>3 - CUSTOS DIRETOS1.010.008.014</v>
          </cell>
          <cell r="L533">
            <v>22041.72</v>
          </cell>
          <cell r="N533">
            <v>9779.69</v>
          </cell>
          <cell r="O533">
            <v>0</v>
          </cell>
          <cell r="P533">
            <v>0</v>
          </cell>
          <cell r="Q533">
            <v>0</v>
          </cell>
          <cell r="R533">
            <v>9779.69</v>
          </cell>
          <cell r="T533">
            <v>4000</v>
          </cell>
          <cell r="U533">
            <v>13779.69</v>
          </cell>
          <cell r="V533">
            <v>8262.0300000000007</v>
          </cell>
        </row>
        <row r="534">
          <cell r="D534" t="str">
            <v>Parede Drywall Ru - 13º Pav. Tipo</v>
          </cell>
          <cell r="E534">
            <v>154.82</v>
          </cell>
          <cell r="F534" t="str">
            <v>vb</v>
          </cell>
          <cell r="G534">
            <v>22041.72</v>
          </cell>
          <cell r="H534">
            <v>0</v>
          </cell>
          <cell r="I534" t="str">
            <v>01.010.008.015 - Parede Drywall Ru - 13º Pav. Tipo</v>
          </cell>
          <cell r="J534" t="str">
            <v>3 - CUSTOS DIRETOS</v>
          </cell>
          <cell r="K534" t="str">
            <v>3 - CUSTOS DIRETOS1.010.008.015</v>
          </cell>
          <cell r="L534">
            <v>22041.72</v>
          </cell>
          <cell r="N534">
            <v>10850.740000000002</v>
          </cell>
          <cell r="O534">
            <v>0</v>
          </cell>
          <cell r="P534">
            <v>0</v>
          </cell>
          <cell r="Q534">
            <v>0</v>
          </cell>
          <cell r="R534">
            <v>10850.740000000002</v>
          </cell>
          <cell r="T534">
            <v>4000</v>
          </cell>
          <cell r="U534">
            <v>14850.740000000002</v>
          </cell>
          <cell r="V534">
            <v>7190.98</v>
          </cell>
        </row>
        <row r="535">
          <cell r="D535" t="str">
            <v>Parede Drywall Ru - 14º Pav. Tipo</v>
          </cell>
          <cell r="E535">
            <v>154.82</v>
          </cell>
          <cell r="F535" t="str">
            <v>vb</v>
          </cell>
          <cell r="G535">
            <v>22041.72</v>
          </cell>
          <cell r="H535">
            <v>0</v>
          </cell>
          <cell r="I535" t="str">
            <v>01.010.008.016 - Parede Drywall Ru - 14º Pav. Tipo</v>
          </cell>
          <cell r="J535" t="str">
            <v>3 - CUSTOS DIRETOS</v>
          </cell>
          <cell r="K535" t="str">
            <v>3 - CUSTOS DIRETOS1.010.008.016</v>
          </cell>
          <cell r="L535">
            <v>22041.72</v>
          </cell>
          <cell r="N535">
            <v>14410.740000000002</v>
          </cell>
          <cell r="O535">
            <v>0</v>
          </cell>
          <cell r="P535">
            <v>0</v>
          </cell>
          <cell r="Q535">
            <v>0</v>
          </cell>
          <cell r="R535">
            <v>14410.740000000002</v>
          </cell>
          <cell r="T535">
            <v>4000</v>
          </cell>
          <cell r="U535">
            <v>18410.740000000002</v>
          </cell>
          <cell r="V535">
            <v>3630.9799999999996</v>
          </cell>
        </row>
        <row r="536">
          <cell r="D536" t="str">
            <v>Parede Drywall Ru - 15º Pav. Tipo</v>
          </cell>
          <cell r="E536">
            <v>154.82</v>
          </cell>
          <cell r="F536" t="str">
            <v>vb</v>
          </cell>
          <cell r="G536">
            <v>22041.72</v>
          </cell>
          <cell r="H536">
            <v>0</v>
          </cell>
          <cell r="I536" t="str">
            <v>01.010.008.017 - Parede Drywall Ru - 15º Pav. Tipo</v>
          </cell>
          <cell r="J536" t="str">
            <v>3 - CUSTOS DIRETOS</v>
          </cell>
          <cell r="K536" t="str">
            <v>3 - CUSTOS DIRETOS1.010.008.017</v>
          </cell>
          <cell r="L536">
            <v>22041.72</v>
          </cell>
          <cell r="N536">
            <v>15210.740000000002</v>
          </cell>
          <cell r="O536">
            <v>0</v>
          </cell>
          <cell r="P536">
            <v>0</v>
          </cell>
          <cell r="Q536">
            <v>0</v>
          </cell>
          <cell r="R536">
            <v>15210.740000000002</v>
          </cell>
          <cell r="T536">
            <v>4000</v>
          </cell>
          <cell r="U536">
            <v>19210.740000000002</v>
          </cell>
          <cell r="V536">
            <v>2830.9799999999996</v>
          </cell>
        </row>
        <row r="537">
          <cell r="D537" t="str">
            <v>Parede Drywall Ru - Cobertura</v>
          </cell>
          <cell r="E537">
            <v>0</v>
          </cell>
          <cell r="F537" t="str">
            <v>vb</v>
          </cell>
          <cell r="G537">
            <v>0</v>
          </cell>
          <cell r="H537">
            <v>0</v>
          </cell>
          <cell r="I537" t="str">
            <v>01.010.008.018 - Parede Drywall Ru - Cobertura</v>
          </cell>
          <cell r="J537" t="str">
            <v>3 - CUSTOS DIRETOS</v>
          </cell>
          <cell r="K537" t="str">
            <v>3 - CUSTOS DIRETOS1.010.008.018</v>
          </cell>
          <cell r="L537">
            <v>0</v>
          </cell>
          <cell r="N537">
            <v>579.93000000000006</v>
          </cell>
          <cell r="O537">
            <v>0</v>
          </cell>
          <cell r="P537">
            <v>0</v>
          </cell>
          <cell r="Q537">
            <v>0</v>
          </cell>
          <cell r="R537">
            <v>579.93000000000006</v>
          </cell>
          <cell r="T537">
            <v>0</v>
          </cell>
          <cell r="U537">
            <v>579.93000000000006</v>
          </cell>
          <cell r="V537">
            <v>-579.93000000000006</v>
          </cell>
        </row>
        <row r="538">
          <cell r="D538" t="str">
            <v>PAREDE DRYWALL ST</v>
          </cell>
          <cell r="I538" t="str">
            <v>01.010.009 - PAREDE DRYWALL ST</v>
          </cell>
          <cell r="J538" t="str">
            <v>3 - CUSTOS DIRETOS</v>
          </cell>
          <cell r="K538" t="str">
            <v>3 - CUSTOS DIRETOS1.010.009</v>
          </cell>
          <cell r="L538">
            <v>104354.69999999995</v>
          </cell>
          <cell r="N538">
            <v>109668.86</v>
          </cell>
          <cell r="O538">
            <v>0</v>
          </cell>
          <cell r="P538">
            <v>0</v>
          </cell>
          <cell r="Q538">
            <v>0</v>
          </cell>
          <cell r="R538">
            <v>109668.86</v>
          </cell>
          <cell r="T538">
            <v>0</v>
          </cell>
          <cell r="U538">
            <v>109668.86</v>
          </cell>
          <cell r="V538">
            <v>-5314.1600000000471</v>
          </cell>
        </row>
        <row r="539">
          <cell r="D539" t="str">
            <v>Parede Drywall St - Subsolo</v>
          </cell>
          <cell r="E539">
            <v>0</v>
          </cell>
          <cell r="F539" t="str">
            <v>vb</v>
          </cell>
          <cell r="G539">
            <v>0</v>
          </cell>
          <cell r="H539">
            <v>0</v>
          </cell>
          <cell r="I539" t="str">
            <v>01.010.009.001 - Parede Drywall St - Subsolo</v>
          </cell>
          <cell r="J539" t="str">
            <v>3 - CUSTOS DIRETOS</v>
          </cell>
          <cell r="K539" t="str">
            <v>3 - CUSTOS DIRETOS1.010.009.001</v>
          </cell>
          <cell r="L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D540" t="str">
            <v>Parede Drywall St - Térreo</v>
          </cell>
          <cell r="E540">
            <v>0</v>
          </cell>
          <cell r="F540" t="str">
            <v>vb</v>
          </cell>
          <cell r="G540">
            <v>0</v>
          </cell>
          <cell r="H540">
            <v>0</v>
          </cell>
          <cell r="I540" t="str">
            <v>01.010.009.002 - Parede Drywall St - Térreo</v>
          </cell>
          <cell r="J540" t="str">
            <v>3 - CUSTOS DIRETOS</v>
          </cell>
          <cell r="K540" t="str">
            <v>3 - CUSTOS DIRETOS1.010.009.002</v>
          </cell>
          <cell r="L540">
            <v>0</v>
          </cell>
          <cell r="N540">
            <v>501.6</v>
          </cell>
          <cell r="O540">
            <v>0</v>
          </cell>
          <cell r="P540">
            <v>0</v>
          </cell>
          <cell r="Q540">
            <v>0</v>
          </cell>
          <cell r="R540">
            <v>501.6</v>
          </cell>
          <cell r="T540">
            <v>0</v>
          </cell>
          <cell r="U540">
            <v>501.6</v>
          </cell>
          <cell r="V540">
            <v>-501.6</v>
          </cell>
        </row>
        <row r="541">
          <cell r="D541" t="str">
            <v>Parede Drywall St - 1º Pav. Tipo</v>
          </cell>
          <cell r="E541">
            <v>60.85</v>
          </cell>
          <cell r="F541" t="str">
            <v>vb</v>
          </cell>
          <cell r="G541">
            <v>6956.98</v>
          </cell>
          <cell r="H541">
            <v>0</v>
          </cell>
          <cell r="I541" t="str">
            <v>01.010.009.003 - Parede Drywall St - 1º Pav. Tipo</v>
          </cell>
          <cell r="J541" t="str">
            <v>3 - CUSTOS DIRETOS</v>
          </cell>
          <cell r="K541" t="str">
            <v>3 - CUSTOS DIRETOS1.010.009.003</v>
          </cell>
          <cell r="L541">
            <v>6956.98</v>
          </cell>
          <cell r="N541">
            <v>5609.8900000000012</v>
          </cell>
          <cell r="O541">
            <v>0</v>
          </cell>
          <cell r="P541">
            <v>0</v>
          </cell>
          <cell r="Q541">
            <v>0</v>
          </cell>
          <cell r="R541">
            <v>5609.8900000000012</v>
          </cell>
          <cell r="T541">
            <v>0</v>
          </cell>
          <cell r="U541">
            <v>5609.8900000000012</v>
          </cell>
          <cell r="V541">
            <v>1347.0899999999983</v>
          </cell>
        </row>
        <row r="542">
          <cell r="D542" t="str">
            <v>Parede Drywall St - 2º Pav. Tipo</v>
          </cell>
          <cell r="E542">
            <v>60.85</v>
          </cell>
          <cell r="F542" t="str">
            <v>vb</v>
          </cell>
          <cell r="G542">
            <v>6956.98</v>
          </cell>
          <cell r="H542">
            <v>0</v>
          </cell>
          <cell r="I542" t="str">
            <v>01.010.009.004 - Parede Drywall St - 2º Pav. Tipo</v>
          </cell>
          <cell r="J542" t="str">
            <v>3 - CUSTOS DIRETOS</v>
          </cell>
          <cell r="K542" t="str">
            <v>3 - CUSTOS DIRETOS1.010.009.004</v>
          </cell>
          <cell r="L542">
            <v>6956.98</v>
          </cell>
          <cell r="N542">
            <v>9284.4800000000014</v>
          </cell>
          <cell r="O542">
            <v>0</v>
          </cell>
          <cell r="P542">
            <v>0</v>
          </cell>
          <cell r="Q542">
            <v>0</v>
          </cell>
          <cell r="R542">
            <v>9284.4800000000014</v>
          </cell>
          <cell r="T542">
            <v>0</v>
          </cell>
          <cell r="U542">
            <v>9284.4800000000014</v>
          </cell>
          <cell r="V542">
            <v>-2327.5000000000018</v>
          </cell>
        </row>
        <row r="543">
          <cell r="D543" t="str">
            <v>Parede Drywall St - 3º Pav. Tipo</v>
          </cell>
          <cell r="E543">
            <v>60.85</v>
          </cell>
          <cell r="F543" t="str">
            <v>vb</v>
          </cell>
          <cell r="G543">
            <v>6956.98</v>
          </cell>
          <cell r="H543">
            <v>0</v>
          </cell>
          <cell r="I543" t="str">
            <v>01.010.009.005 - Parede Drywall St - 3º Pav. Tipo</v>
          </cell>
          <cell r="J543" t="str">
            <v>3 - CUSTOS DIRETOS</v>
          </cell>
          <cell r="K543" t="str">
            <v>3 - CUSTOS DIRETOS1.010.009.005</v>
          </cell>
          <cell r="L543">
            <v>6956.98</v>
          </cell>
          <cell r="N543">
            <v>8059.4100000000017</v>
          </cell>
          <cell r="O543">
            <v>0</v>
          </cell>
          <cell r="P543">
            <v>0</v>
          </cell>
          <cell r="Q543">
            <v>0</v>
          </cell>
          <cell r="R543">
            <v>8059.4100000000017</v>
          </cell>
          <cell r="T543">
            <v>0</v>
          </cell>
          <cell r="U543">
            <v>8059.4100000000017</v>
          </cell>
          <cell r="V543">
            <v>-1102.4300000000021</v>
          </cell>
        </row>
        <row r="544">
          <cell r="D544" t="str">
            <v>Parede Drywall St - 4º Pav. Tipo</v>
          </cell>
          <cell r="E544">
            <v>60.85</v>
          </cell>
          <cell r="F544" t="str">
            <v>vb</v>
          </cell>
          <cell r="G544">
            <v>6956.98</v>
          </cell>
          <cell r="H544">
            <v>0</v>
          </cell>
          <cell r="I544" t="str">
            <v>01.010.009.006 - Parede Drywall St - 4º Pav. Tipo</v>
          </cell>
          <cell r="J544" t="str">
            <v>3 - CUSTOS DIRETOS</v>
          </cell>
          <cell r="K544" t="str">
            <v>3 - CUSTOS DIRETOS1.010.009.006</v>
          </cell>
          <cell r="L544">
            <v>6956.98</v>
          </cell>
          <cell r="N544">
            <v>7832.6100000000015</v>
          </cell>
          <cell r="O544">
            <v>0</v>
          </cell>
          <cell r="P544">
            <v>0</v>
          </cell>
          <cell r="Q544">
            <v>0</v>
          </cell>
          <cell r="R544">
            <v>7832.6100000000015</v>
          </cell>
          <cell r="T544">
            <v>0</v>
          </cell>
          <cell r="U544">
            <v>7832.6100000000015</v>
          </cell>
          <cell r="V544">
            <v>-875.63000000000193</v>
          </cell>
        </row>
        <row r="545">
          <cell r="D545" t="str">
            <v>Parede Drywall St - 5º Pav. Tipo</v>
          </cell>
          <cell r="E545">
            <v>60.85</v>
          </cell>
          <cell r="F545" t="str">
            <v>vb</v>
          </cell>
          <cell r="G545">
            <v>6956.98</v>
          </cell>
          <cell r="H545">
            <v>0</v>
          </cell>
          <cell r="I545" t="str">
            <v>01.010.009.007 - Parede Drywall St - 5º Pav. Tipo</v>
          </cell>
          <cell r="J545" t="str">
            <v>3 - CUSTOS DIRETOS</v>
          </cell>
          <cell r="K545" t="str">
            <v>3 - CUSTOS DIRETOS1.010.009.007</v>
          </cell>
          <cell r="L545">
            <v>6956.98</v>
          </cell>
          <cell r="N545">
            <v>5810.7100000000009</v>
          </cell>
          <cell r="O545">
            <v>0</v>
          </cell>
          <cell r="P545">
            <v>0</v>
          </cell>
          <cell r="Q545">
            <v>0</v>
          </cell>
          <cell r="R545">
            <v>5810.7100000000009</v>
          </cell>
          <cell r="T545">
            <v>0</v>
          </cell>
          <cell r="U545">
            <v>5810.7100000000009</v>
          </cell>
          <cell r="V545">
            <v>1146.2699999999986</v>
          </cell>
        </row>
        <row r="546">
          <cell r="D546" t="str">
            <v>Parede Drywall St - 6º Pav. Tipo</v>
          </cell>
          <cell r="E546">
            <v>60.85</v>
          </cell>
          <cell r="F546" t="str">
            <v>vb</v>
          </cell>
          <cell r="G546">
            <v>6956.98</v>
          </cell>
          <cell r="H546">
            <v>0</v>
          </cell>
          <cell r="I546" t="str">
            <v>01.010.009.008 - Parede Drywall St - 6º Pav. Tipo</v>
          </cell>
          <cell r="J546" t="str">
            <v>3 - CUSTOS DIRETOS</v>
          </cell>
          <cell r="K546" t="str">
            <v>3 - CUSTOS DIRETOS1.010.009.008</v>
          </cell>
          <cell r="L546">
            <v>6956.98</v>
          </cell>
          <cell r="N546">
            <v>7810.7100000000009</v>
          </cell>
          <cell r="O546">
            <v>0</v>
          </cell>
          <cell r="P546">
            <v>0</v>
          </cell>
          <cell r="Q546">
            <v>0</v>
          </cell>
          <cell r="R546">
            <v>7810.7100000000009</v>
          </cell>
          <cell r="T546">
            <v>0</v>
          </cell>
          <cell r="U546">
            <v>7810.7100000000009</v>
          </cell>
          <cell r="V546">
            <v>-853.73000000000138</v>
          </cell>
        </row>
        <row r="547">
          <cell r="D547" t="str">
            <v>Parede Drywall St - 7º Pav. Tipo</v>
          </cell>
          <cell r="E547">
            <v>60.85</v>
          </cell>
          <cell r="F547" t="str">
            <v>vb</v>
          </cell>
          <cell r="G547">
            <v>6956.98</v>
          </cell>
          <cell r="H547">
            <v>0</v>
          </cell>
          <cell r="I547" t="str">
            <v>01.010.009.009 - Parede Drywall St - 7º Pav. Tipo</v>
          </cell>
          <cell r="J547" t="str">
            <v>3 - CUSTOS DIRETOS</v>
          </cell>
          <cell r="K547" t="str">
            <v>3 - CUSTOS DIRETOS1.010.009.009</v>
          </cell>
          <cell r="L547">
            <v>6956.98</v>
          </cell>
          <cell r="N547">
            <v>4810.71</v>
          </cell>
          <cell r="O547">
            <v>0</v>
          </cell>
          <cell r="P547">
            <v>0</v>
          </cell>
          <cell r="Q547">
            <v>0</v>
          </cell>
          <cell r="R547">
            <v>4810.71</v>
          </cell>
          <cell r="T547">
            <v>0</v>
          </cell>
          <cell r="U547">
            <v>4810.71</v>
          </cell>
          <cell r="V547">
            <v>2146.2699999999995</v>
          </cell>
        </row>
        <row r="548">
          <cell r="D548" t="str">
            <v>Parede Drywall St - 8º Pav. Tipo</v>
          </cell>
          <cell r="E548">
            <v>60.85</v>
          </cell>
          <cell r="F548" t="str">
            <v>vb</v>
          </cell>
          <cell r="G548">
            <v>6956.98</v>
          </cell>
          <cell r="H548">
            <v>0</v>
          </cell>
          <cell r="I548" t="str">
            <v>01.010.009.010 - Parede Drywall St - 8º Pav. Tipo</v>
          </cell>
          <cell r="J548" t="str">
            <v>3 - CUSTOS DIRETOS</v>
          </cell>
          <cell r="K548" t="str">
            <v>3 - CUSTOS DIRETOS1.010.009.010</v>
          </cell>
          <cell r="L548">
            <v>6956.98</v>
          </cell>
          <cell r="N548">
            <v>6351.05</v>
          </cell>
          <cell r="O548">
            <v>0</v>
          </cell>
          <cell r="P548">
            <v>0</v>
          </cell>
          <cell r="Q548">
            <v>0</v>
          </cell>
          <cell r="R548">
            <v>6351.05</v>
          </cell>
          <cell r="T548">
            <v>0</v>
          </cell>
          <cell r="U548">
            <v>6351.05</v>
          </cell>
          <cell r="V548">
            <v>605.92999999999938</v>
          </cell>
        </row>
        <row r="549">
          <cell r="D549" t="str">
            <v>Parede Drywall St - 9º Pav. Tipo</v>
          </cell>
          <cell r="E549">
            <v>60.85</v>
          </cell>
          <cell r="F549" t="str">
            <v>vb</v>
          </cell>
          <cell r="G549">
            <v>6956.98</v>
          </cell>
          <cell r="H549">
            <v>0</v>
          </cell>
          <cell r="I549" t="str">
            <v>01.010.009.011 - Parede Drywall St - 9º Pav. Tipo</v>
          </cell>
          <cell r="J549" t="str">
            <v>3 - CUSTOS DIRETOS</v>
          </cell>
          <cell r="K549" t="str">
            <v>3 - CUSTOS DIRETOS1.010.009.011</v>
          </cell>
          <cell r="L549">
            <v>6956.98</v>
          </cell>
          <cell r="N549">
            <v>3351.0499999999993</v>
          </cell>
          <cell r="O549">
            <v>0</v>
          </cell>
          <cell r="P549">
            <v>0</v>
          </cell>
          <cell r="Q549">
            <v>0</v>
          </cell>
          <cell r="R549">
            <v>3351.0499999999993</v>
          </cell>
          <cell r="T549">
            <v>0</v>
          </cell>
          <cell r="U549">
            <v>3351.0499999999993</v>
          </cell>
          <cell r="V549">
            <v>3605.9300000000003</v>
          </cell>
        </row>
        <row r="550">
          <cell r="D550" t="str">
            <v>Parede Drywall St - 10º Pav. Tipo</v>
          </cell>
          <cell r="E550">
            <v>60.85</v>
          </cell>
          <cell r="F550" t="str">
            <v>vb</v>
          </cell>
          <cell r="G550">
            <v>6956.98</v>
          </cell>
          <cell r="H550">
            <v>0</v>
          </cell>
          <cell r="I550" t="str">
            <v>01.010.009.012 - Parede Drywall St - 10º Pav. Tipo</v>
          </cell>
          <cell r="J550" t="str">
            <v>3 - CUSTOS DIRETOS</v>
          </cell>
          <cell r="K550" t="str">
            <v>3 - CUSTOS DIRETOS1.010.009.012</v>
          </cell>
          <cell r="L550">
            <v>6956.98</v>
          </cell>
          <cell r="N550">
            <v>6911.05</v>
          </cell>
          <cell r="O550">
            <v>0</v>
          </cell>
          <cell r="P550">
            <v>0</v>
          </cell>
          <cell r="Q550">
            <v>0</v>
          </cell>
          <cell r="R550">
            <v>6911.05</v>
          </cell>
          <cell r="T550">
            <v>0</v>
          </cell>
          <cell r="U550">
            <v>6911.05</v>
          </cell>
          <cell r="V550">
            <v>45.929999999999382</v>
          </cell>
        </row>
        <row r="551">
          <cell r="D551" t="str">
            <v>Parede Drywall St - 11º Pav. Tipo</v>
          </cell>
          <cell r="E551">
            <v>60.85</v>
          </cell>
          <cell r="F551" t="str">
            <v>vb</v>
          </cell>
          <cell r="G551">
            <v>6956.98</v>
          </cell>
          <cell r="H551">
            <v>0</v>
          </cell>
          <cell r="I551" t="str">
            <v>01.010.009.013 - Parede Drywall St - 11º Pav. Tipo</v>
          </cell>
          <cell r="J551" t="str">
            <v>3 - CUSTOS DIRETOS</v>
          </cell>
          <cell r="K551" t="str">
            <v>3 - CUSTOS DIRETOS1.010.009.013</v>
          </cell>
          <cell r="L551">
            <v>6956.98</v>
          </cell>
          <cell r="N551">
            <v>6911.05</v>
          </cell>
          <cell r="O551">
            <v>0</v>
          </cell>
          <cell r="P551">
            <v>0</v>
          </cell>
          <cell r="Q551">
            <v>0</v>
          </cell>
          <cell r="R551">
            <v>6911.05</v>
          </cell>
          <cell r="T551">
            <v>0</v>
          </cell>
          <cell r="U551">
            <v>6911.05</v>
          </cell>
          <cell r="V551">
            <v>45.929999999999382</v>
          </cell>
        </row>
        <row r="552">
          <cell r="D552" t="str">
            <v>Parede Drywall St - 12º Pav. Tipo</v>
          </cell>
          <cell r="E552">
            <v>60.85</v>
          </cell>
          <cell r="F552" t="str">
            <v>vb</v>
          </cell>
          <cell r="G552">
            <v>6956.98</v>
          </cell>
          <cell r="H552">
            <v>0</v>
          </cell>
          <cell r="I552" t="str">
            <v>01.010.009.014 - Parede Drywall St - 12º Pav. Tipo</v>
          </cell>
          <cell r="J552" t="str">
            <v>3 - CUSTOS DIRETOS</v>
          </cell>
          <cell r="K552" t="str">
            <v>3 - CUSTOS DIRETOS1.010.009.014</v>
          </cell>
          <cell r="L552">
            <v>6956.98</v>
          </cell>
          <cell r="N552">
            <v>9090.5099999999984</v>
          </cell>
          <cell r="O552">
            <v>0</v>
          </cell>
          <cell r="P552">
            <v>0</v>
          </cell>
          <cell r="Q552">
            <v>0</v>
          </cell>
          <cell r="R552">
            <v>9090.5099999999984</v>
          </cell>
          <cell r="T552">
            <v>0</v>
          </cell>
          <cell r="U552">
            <v>9090.5099999999984</v>
          </cell>
          <cell r="V552">
            <v>-2133.5299999999988</v>
          </cell>
        </row>
        <row r="553">
          <cell r="D553" t="str">
            <v>Parede Drywall St - 13º Pav. Tipo</v>
          </cell>
          <cell r="E553">
            <v>60.85</v>
          </cell>
          <cell r="F553" t="str">
            <v>vb</v>
          </cell>
          <cell r="G553">
            <v>6956.98</v>
          </cell>
          <cell r="H553">
            <v>0</v>
          </cell>
          <cell r="I553" t="str">
            <v>01.010.009.015 - Parede Drywall St - 13º Pav. Tipo</v>
          </cell>
          <cell r="J553" t="str">
            <v>3 - CUSTOS DIRETOS</v>
          </cell>
          <cell r="K553" t="str">
            <v>3 - CUSTOS DIRETOS1.010.009.015</v>
          </cell>
          <cell r="L553">
            <v>6956.98</v>
          </cell>
          <cell r="N553">
            <v>9604.5499999999993</v>
          </cell>
          <cell r="O553">
            <v>0</v>
          </cell>
          <cell r="P553">
            <v>0</v>
          </cell>
          <cell r="Q553">
            <v>0</v>
          </cell>
          <cell r="R553">
            <v>9604.5499999999993</v>
          </cell>
          <cell r="T553">
            <v>0</v>
          </cell>
          <cell r="U553">
            <v>9604.5499999999993</v>
          </cell>
          <cell r="V553">
            <v>-2647.5699999999997</v>
          </cell>
        </row>
        <row r="554">
          <cell r="D554" t="str">
            <v>Parede Drywall St - 14º Pav. Tipo</v>
          </cell>
          <cell r="E554">
            <v>60.85</v>
          </cell>
          <cell r="F554" t="str">
            <v>vb</v>
          </cell>
          <cell r="G554">
            <v>6956.98</v>
          </cell>
          <cell r="H554">
            <v>0</v>
          </cell>
          <cell r="I554" t="str">
            <v>01.010.009.016 - Parede Drywall St - 14º Pav. Tipo</v>
          </cell>
          <cell r="J554" t="str">
            <v>3 - CUSTOS DIRETOS</v>
          </cell>
          <cell r="K554" t="str">
            <v>3 - CUSTOS DIRETOS1.010.009.016</v>
          </cell>
          <cell r="L554">
            <v>6956.98</v>
          </cell>
          <cell r="N554">
            <v>9772.9</v>
          </cell>
          <cell r="O554">
            <v>0</v>
          </cell>
          <cell r="P554">
            <v>0</v>
          </cell>
          <cell r="Q554">
            <v>0</v>
          </cell>
          <cell r="R554">
            <v>9772.9</v>
          </cell>
          <cell r="T554">
            <v>0</v>
          </cell>
          <cell r="U554">
            <v>9772.9</v>
          </cell>
          <cell r="V554">
            <v>-2815.92</v>
          </cell>
        </row>
        <row r="555">
          <cell r="D555" t="str">
            <v>Parede Drywall St - 15º Pav. Tipo</v>
          </cell>
          <cell r="E555">
            <v>60.85</v>
          </cell>
          <cell r="F555" t="str">
            <v>vb</v>
          </cell>
          <cell r="G555">
            <v>6956.98</v>
          </cell>
          <cell r="H555">
            <v>0</v>
          </cell>
          <cell r="I555" t="str">
            <v>01.010.009.017 - Parede Drywall St - 15º Pav. Tipo</v>
          </cell>
          <cell r="J555" t="str">
            <v>3 - CUSTOS DIRETOS</v>
          </cell>
          <cell r="K555" t="str">
            <v>3 - CUSTOS DIRETOS1.010.009.017</v>
          </cell>
          <cell r="L555">
            <v>6956.98</v>
          </cell>
          <cell r="N555">
            <v>7878.2499999999991</v>
          </cell>
          <cell r="O555">
            <v>0</v>
          </cell>
          <cell r="P555">
            <v>0</v>
          </cell>
          <cell r="Q555">
            <v>0</v>
          </cell>
          <cell r="R555">
            <v>7878.2499999999991</v>
          </cell>
          <cell r="T555">
            <v>0</v>
          </cell>
          <cell r="U555">
            <v>7878.2499999999991</v>
          </cell>
          <cell r="V555">
            <v>-921.26999999999953</v>
          </cell>
        </row>
        <row r="556">
          <cell r="D556" t="str">
            <v>Parede Drywall St - Cobertura</v>
          </cell>
          <cell r="E556">
            <v>0</v>
          </cell>
          <cell r="F556" t="str">
            <v>vb</v>
          </cell>
          <cell r="G556">
            <v>0</v>
          </cell>
          <cell r="H556">
            <v>0</v>
          </cell>
          <cell r="I556" t="str">
            <v>01.010.009.018 - Parede Drywall St - Cobertura</v>
          </cell>
          <cell r="J556" t="str">
            <v>3 - CUSTOS DIRETOS</v>
          </cell>
          <cell r="K556" t="str">
            <v>3 - CUSTOS DIRETOS1.010.009.018</v>
          </cell>
          <cell r="L556">
            <v>0</v>
          </cell>
          <cell r="N556">
            <v>78.33</v>
          </cell>
          <cell r="O556">
            <v>0</v>
          </cell>
          <cell r="P556">
            <v>0</v>
          </cell>
          <cell r="Q556">
            <v>0</v>
          </cell>
          <cell r="R556">
            <v>78.33</v>
          </cell>
          <cell r="T556">
            <v>0</v>
          </cell>
          <cell r="U556">
            <v>78.33</v>
          </cell>
          <cell r="V556">
            <v>-78.33</v>
          </cell>
        </row>
        <row r="557">
          <cell r="D557" t="str">
            <v>ESQUADRIAS DE MADEIRA</v>
          </cell>
          <cell r="I557" t="str">
            <v>01.011 - ESQUADRIAS DE MADEIRA</v>
          </cell>
          <cell r="J557" t="str">
            <v>3 - CUSTOS DIRETOS</v>
          </cell>
          <cell r="K557" t="str">
            <v>3 - CUSTOS DIRETOS1.011</v>
          </cell>
          <cell r="L557">
            <v>734722.6399999999</v>
          </cell>
          <cell r="N557">
            <v>46720.409999999996</v>
          </cell>
          <cell r="O557">
            <v>11040.96</v>
          </cell>
          <cell r="P557">
            <v>0</v>
          </cell>
          <cell r="Q557">
            <v>0</v>
          </cell>
          <cell r="R557">
            <v>57761.369999999995</v>
          </cell>
          <cell r="T557">
            <v>302407.15999999997</v>
          </cell>
          <cell r="U557">
            <v>360168.52999999997</v>
          </cell>
          <cell r="V557">
            <v>374554.10999999993</v>
          </cell>
        </row>
        <row r="558">
          <cell r="D558" t="str">
            <v>PORTAS E GUARNICÕES</v>
          </cell>
          <cell r="I558" t="str">
            <v>01.011.001 - PORTAS E GUARNICÕES</v>
          </cell>
          <cell r="J558" t="str">
            <v>3 - CUSTOS DIRETOS</v>
          </cell>
          <cell r="K558" t="str">
            <v>3 - CUSTOS DIRETOS1.011.001</v>
          </cell>
          <cell r="L558">
            <v>670248.93999999994</v>
          </cell>
          <cell r="N558">
            <v>3411.77</v>
          </cell>
          <cell r="O558">
            <v>0</v>
          </cell>
          <cell r="P558">
            <v>0</v>
          </cell>
          <cell r="Q558">
            <v>0</v>
          </cell>
          <cell r="R558">
            <v>3411.77</v>
          </cell>
          <cell r="T558">
            <v>302071.15999999997</v>
          </cell>
          <cell r="U558">
            <v>305482.93</v>
          </cell>
          <cell r="V558">
            <v>364766.00999999995</v>
          </cell>
        </row>
        <row r="559">
          <cell r="D559" t="str">
            <v>Pm1 - Porta De Madeira Liso, Abrir (1 Folha) 60X210X12Cm</v>
          </cell>
          <cell r="E559">
            <v>241</v>
          </cell>
          <cell r="F559" t="str">
            <v>vb</v>
          </cell>
          <cell r="G559">
            <v>254592.4</v>
          </cell>
          <cell r="H559">
            <v>0</v>
          </cell>
          <cell r="I559" t="str">
            <v>01.011.001.001 - Pm1 - Porta De Madeira Liso, Abrir (1 Folha) 60X210X12Cm</v>
          </cell>
          <cell r="J559" t="str">
            <v>3 - CUSTOS DIRETOS</v>
          </cell>
          <cell r="K559" t="str">
            <v>3 - CUSTOS DIRETOS1.011.001.001</v>
          </cell>
          <cell r="L559">
            <v>254592.4</v>
          </cell>
          <cell r="N559">
            <v>27</v>
          </cell>
          <cell r="O559">
            <v>0</v>
          </cell>
          <cell r="P559">
            <v>0</v>
          </cell>
          <cell r="Q559">
            <v>0</v>
          </cell>
          <cell r="R559">
            <v>27</v>
          </cell>
          <cell r="T559">
            <v>113797.79</v>
          </cell>
          <cell r="U559">
            <v>113824.79</v>
          </cell>
          <cell r="V559">
            <v>140767.60999999999</v>
          </cell>
        </row>
        <row r="560">
          <cell r="D560" t="str">
            <v>Pm2 - Porta De Madeira Liso, Abrir (1 Folha) 70X210X12Cm</v>
          </cell>
          <cell r="E560">
            <v>242</v>
          </cell>
          <cell r="F560" t="str">
            <v>vb</v>
          </cell>
          <cell r="G560">
            <v>255648.8</v>
          </cell>
          <cell r="H560">
            <v>0</v>
          </cell>
          <cell r="I560" t="str">
            <v>01.011.001.002 - Pm2 - Porta De Madeira Liso, Abrir (1 Folha) 70X210X12Cm</v>
          </cell>
          <cell r="J560" t="str">
            <v>3 - CUSTOS DIRETOS</v>
          </cell>
          <cell r="K560" t="str">
            <v>3 - CUSTOS DIRETOS1.011.001.002</v>
          </cell>
          <cell r="L560">
            <v>255648.8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T560">
            <v>86788.52</v>
          </cell>
          <cell r="U560">
            <v>86788.52</v>
          </cell>
          <cell r="V560">
            <v>168860.27999999997</v>
          </cell>
        </row>
        <row r="561">
          <cell r="D561" t="str">
            <v>Pm3 - Porta De Madeira Liso, Abrir (1 Folha) 80X210X12Cm</v>
          </cell>
          <cell r="E561">
            <v>127</v>
          </cell>
          <cell r="F561" t="str">
            <v>vb</v>
          </cell>
          <cell r="G561">
            <v>134162.79999999999</v>
          </cell>
          <cell r="H561">
            <v>0</v>
          </cell>
          <cell r="I561" t="str">
            <v>01.011.001.003 - Pm3 - Porta De Madeira Liso, Abrir (1 Folha) 80X210X12Cm</v>
          </cell>
          <cell r="J561" t="str">
            <v>3 - CUSTOS DIRETOS</v>
          </cell>
          <cell r="K561" t="str">
            <v>3 - CUSTOS DIRETOS1.011.001.003</v>
          </cell>
          <cell r="L561">
            <v>134162.79999999999</v>
          </cell>
          <cell r="N561">
            <v>3384.77</v>
          </cell>
          <cell r="O561">
            <v>0</v>
          </cell>
          <cell r="P561">
            <v>0</v>
          </cell>
          <cell r="Q561">
            <v>0</v>
          </cell>
          <cell r="R561">
            <v>3384.77</v>
          </cell>
          <cell r="T561">
            <v>75639.909999999989</v>
          </cell>
          <cell r="U561">
            <v>79024.679999999993</v>
          </cell>
          <cell r="V561">
            <v>55138.119999999995</v>
          </cell>
        </row>
        <row r="562">
          <cell r="D562" t="str">
            <v>Pm4 - Porta De Madeira Liso, Correr (1 Folha) 90X210X12Cm</v>
          </cell>
          <cell r="E562">
            <v>2</v>
          </cell>
          <cell r="F562" t="str">
            <v>vb</v>
          </cell>
          <cell r="G562">
            <v>2282.94</v>
          </cell>
          <cell r="H562">
            <v>0</v>
          </cell>
          <cell r="I562" t="str">
            <v>01.011.001.004 - Pm4 - Porta De Madeira Liso, Correr (1 Folha) 90X210X12Cm</v>
          </cell>
          <cell r="J562" t="str">
            <v>3 - CUSTOS DIRETOS</v>
          </cell>
          <cell r="K562" t="str">
            <v>3 - CUSTOS DIRETOS1.011.001.004</v>
          </cell>
          <cell r="L562">
            <v>2282.94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T562">
            <v>2282.94</v>
          </cell>
          <cell r="U562">
            <v>2282.94</v>
          </cell>
          <cell r="V562">
            <v>0</v>
          </cell>
        </row>
        <row r="563">
          <cell r="D563" t="str">
            <v>Frete Portas De Madeira</v>
          </cell>
          <cell r="E563">
            <v>612</v>
          </cell>
          <cell r="F563" t="str">
            <v>vb</v>
          </cell>
          <cell r="G563">
            <v>23562</v>
          </cell>
          <cell r="H563">
            <v>0</v>
          </cell>
          <cell r="I563" t="str">
            <v>01.011.001.005 - Frete Portas De Madeira</v>
          </cell>
          <cell r="J563" t="str">
            <v>3 - CUSTOS DIRETOS</v>
          </cell>
          <cell r="K563" t="str">
            <v>3 - CUSTOS DIRETOS1.011.001.005</v>
          </cell>
          <cell r="L563">
            <v>23562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T563">
            <v>23562</v>
          </cell>
          <cell r="U563">
            <v>23562</v>
          </cell>
          <cell r="V563">
            <v>0</v>
          </cell>
        </row>
        <row r="564">
          <cell r="D564" t="str">
            <v>FERRAGENS</v>
          </cell>
          <cell r="I564" t="str">
            <v>01.011.002 - FERRAGENS</v>
          </cell>
          <cell r="J564" t="str">
            <v>3 - CUSTOS DIRETOS</v>
          </cell>
          <cell r="K564" t="str">
            <v>3 - CUSTOS DIRETOS1.011.002</v>
          </cell>
          <cell r="L564">
            <v>64473.700000000004</v>
          </cell>
          <cell r="N564">
            <v>43308.639999999999</v>
          </cell>
          <cell r="O564">
            <v>11040.96</v>
          </cell>
          <cell r="P564">
            <v>0</v>
          </cell>
          <cell r="Q564">
            <v>0</v>
          </cell>
          <cell r="R564">
            <v>54349.599999999999</v>
          </cell>
          <cell r="T564">
            <v>336</v>
          </cell>
          <cell r="U564">
            <v>54685.599999999999</v>
          </cell>
          <cell r="V564">
            <v>9788.1000000000058</v>
          </cell>
        </row>
        <row r="565">
          <cell r="D565" t="str">
            <v>Fechadura Pado Kit (Banheiro)</v>
          </cell>
          <cell r="E565">
            <v>245</v>
          </cell>
          <cell r="F565" t="str">
            <v>vb</v>
          </cell>
          <cell r="G565">
            <v>23414.65</v>
          </cell>
          <cell r="H565">
            <v>0</v>
          </cell>
          <cell r="I565" t="str">
            <v>01.011.002.001 - Fechadura Pado Kit (Banheiro)</v>
          </cell>
          <cell r="J565" t="str">
            <v>3 - CUSTOS DIRETOS</v>
          </cell>
          <cell r="K565" t="str">
            <v>3 - CUSTOS DIRETOS1.011.002.001</v>
          </cell>
          <cell r="L565">
            <v>23414.65</v>
          </cell>
          <cell r="N565">
            <v>7992.57</v>
          </cell>
          <cell r="O565">
            <v>0</v>
          </cell>
          <cell r="P565">
            <v>0</v>
          </cell>
          <cell r="Q565">
            <v>0</v>
          </cell>
          <cell r="R565">
            <v>7992.57</v>
          </cell>
          <cell r="T565">
            <v>0</v>
          </cell>
          <cell r="U565">
            <v>7992.57</v>
          </cell>
          <cell r="V565">
            <v>15422.080000000002</v>
          </cell>
        </row>
        <row r="566">
          <cell r="D566" t="str">
            <v>Fechadura Pado Kit (Interna/Externa)</v>
          </cell>
          <cell r="E566">
            <v>365</v>
          </cell>
          <cell r="F566" t="str">
            <v>vb</v>
          </cell>
          <cell r="G566">
            <v>40723.050000000003</v>
          </cell>
          <cell r="H566">
            <v>0</v>
          </cell>
          <cell r="I566" t="str">
            <v>01.011.002.002 - Fechadura Pado Kit (Interna/Externa)</v>
          </cell>
          <cell r="J566" t="str">
            <v>3 - CUSTOS DIRETOS</v>
          </cell>
          <cell r="K566" t="str">
            <v>3 - CUSTOS DIRETOS1.011.002.002</v>
          </cell>
          <cell r="L566">
            <v>40723.050000000003</v>
          </cell>
          <cell r="N566">
            <v>35316.07</v>
          </cell>
          <cell r="O566">
            <v>11040.96</v>
          </cell>
          <cell r="P566">
            <v>0</v>
          </cell>
          <cell r="Q566">
            <v>0</v>
          </cell>
          <cell r="R566">
            <v>46357.03</v>
          </cell>
          <cell r="T566">
            <v>0</v>
          </cell>
          <cell r="U566">
            <v>46357.03</v>
          </cell>
          <cell r="V566">
            <v>-5633.9799999999959</v>
          </cell>
        </row>
        <row r="567">
          <cell r="D567" t="str">
            <v>Fechadura Kit Correr Pado Com Puxador</v>
          </cell>
          <cell r="E567">
            <v>2</v>
          </cell>
          <cell r="F567" t="str">
            <v>vb</v>
          </cell>
          <cell r="G567">
            <v>336</v>
          </cell>
          <cell r="H567">
            <v>0</v>
          </cell>
          <cell r="I567" t="str">
            <v>01.011.002.003 - Fechadura Kit Correr Pado Com Puxador</v>
          </cell>
          <cell r="J567" t="str">
            <v>3 - CUSTOS DIRETOS</v>
          </cell>
          <cell r="K567" t="str">
            <v>3 - CUSTOS DIRETOS1.011.002.003</v>
          </cell>
          <cell r="L567">
            <v>336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T567">
            <v>336</v>
          </cell>
          <cell r="U567">
            <v>336</v>
          </cell>
          <cell r="V567">
            <v>0</v>
          </cell>
        </row>
        <row r="568">
          <cell r="D568" t="str">
            <v>ESQUADRIAS METÁLICAS</v>
          </cell>
          <cell r="I568" t="str">
            <v>01.012 - ESQUADRIAS METÁLICAS</v>
          </cell>
          <cell r="J568" t="str">
            <v>3 - CUSTOS DIRETOS</v>
          </cell>
          <cell r="K568" t="str">
            <v>3 - CUSTOS DIRETOS1.012</v>
          </cell>
          <cell r="L568">
            <v>1043744.0400000002</v>
          </cell>
          <cell r="N568">
            <v>659128.20000000007</v>
          </cell>
          <cell r="O568">
            <v>286886.40000000002</v>
          </cell>
          <cell r="P568">
            <v>67378.709999999992</v>
          </cell>
          <cell r="Q568">
            <v>0</v>
          </cell>
          <cell r="R568">
            <v>1013393.31</v>
          </cell>
          <cell r="T568">
            <v>30671.969999999998</v>
          </cell>
          <cell r="U568">
            <v>1044065.28</v>
          </cell>
          <cell r="V568">
            <v>-321.23999999987427</v>
          </cell>
        </row>
        <row r="569">
          <cell r="D569" t="str">
            <v>ESQUADRIAS METÁLICAS</v>
          </cell>
          <cell r="I569" t="str">
            <v>01.012.001 - ESQUADRIAS METÁLICAS</v>
          </cell>
          <cell r="J569" t="str">
            <v>3 - CUSTOS DIRETOS</v>
          </cell>
          <cell r="K569" t="str">
            <v>3 - CUSTOS DIRETOS1.012.001</v>
          </cell>
          <cell r="L569">
            <v>1043744.0400000002</v>
          </cell>
          <cell r="N569">
            <v>659128.20000000007</v>
          </cell>
          <cell r="O569">
            <v>286886.40000000002</v>
          </cell>
          <cell r="P569">
            <v>67378.709999999992</v>
          </cell>
          <cell r="Q569">
            <v>0</v>
          </cell>
          <cell r="R569">
            <v>1013393.31</v>
          </cell>
          <cell r="T569">
            <v>30671.969999999998</v>
          </cell>
          <cell r="U569">
            <v>1044065.28</v>
          </cell>
          <cell r="V569">
            <v>-321.23999999987427</v>
          </cell>
        </row>
        <row r="570">
          <cell r="D570" t="str">
            <v>Contramarcos</v>
          </cell>
          <cell r="E570">
            <v>680</v>
          </cell>
          <cell r="F570" t="str">
            <v>vb</v>
          </cell>
          <cell r="G570">
            <v>167172.35999999999</v>
          </cell>
          <cell r="H570">
            <v>0</v>
          </cell>
          <cell r="I570" t="str">
            <v>01.012.001.001 - Contramarcos</v>
          </cell>
          <cell r="J570" t="str">
            <v>3 - CUSTOS DIRETOS</v>
          </cell>
          <cell r="K570" t="str">
            <v>3 - CUSTOS DIRETOS1.012.001.001</v>
          </cell>
          <cell r="L570">
            <v>167172.35999999999</v>
          </cell>
          <cell r="N570">
            <v>91013.48</v>
          </cell>
          <cell r="O570">
            <v>0</v>
          </cell>
          <cell r="P570">
            <v>0</v>
          </cell>
          <cell r="Q570">
            <v>0</v>
          </cell>
          <cell r="R570">
            <v>91013.48</v>
          </cell>
          <cell r="T570">
            <v>0</v>
          </cell>
          <cell r="U570">
            <v>91013.48</v>
          </cell>
          <cell r="V570">
            <v>76158.87999999999</v>
          </cell>
        </row>
        <row r="571">
          <cell r="D571" t="str">
            <v>Esquadrias De Alumínio</v>
          </cell>
          <cell r="E571">
            <v>949.75</v>
          </cell>
          <cell r="F571" t="str">
            <v>vb</v>
          </cell>
          <cell r="G571">
            <v>694979.56</v>
          </cell>
          <cell r="H571">
            <v>0</v>
          </cell>
          <cell r="I571" t="str">
            <v>01.012.001.002 - Esquadrias De Alumínio</v>
          </cell>
          <cell r="J571" t="str">
            <v>3 - CUSTOS DIRETOS</v>
          </cell>
          <cell r="K571" t="str">
            <v>3 - CUSTOS DIRETOS1.012.001.002</v>
          </cell>
          <cell r="L571">
            <v>694979.56</v>
          </cell>
          <cell r="N571">
            <v>465382.52999999997</v>
          </cell>
          <cell r="O571">
            <v>285000</v>
          </cell>
          <cell r="P571">
            <v>0</v>
          </cell>
          <cell r="Q571">
            <v>0</v>
          </cell>
          <cell r="R571">
            <v>750382.53</v>
          </cell>
          <cell r="T571">
            <v>0</v>
          </cell>
          <cell r="U571">
            <v>750382.53</v>
          </cell>
          <cell r="V571">
            <v>-55402.969999999972</v>
          </cell>
        </row>
        <row r="572">
          <cell r="D572" t="str">
            <v>Guarda-Corpo Metálico Com Pintura Eletrostática Preta</v>
          </cell>
          <cell r="E572">
            <v>325.05</v>
          </cell>
          <cell r="F572" t="str">
            <v>vb</v>
          </cell>
          <cell r="G572">
            <v>67483.63</v>
          </cell>
          <cell r="H572">
            <v>0</v>
          </cell>
          <cell r="I572" t="str">
            <v>01.012.001.003 - Guarda-Corpo Metálico Com Pintura Eletrostática Preta</v>
          </cell>
          <cell r="J572" t="str">
            <v>3 - CUSTOS DIRETOS</v>
          </cell>
          <cell r="K572" t="str">
            <v>3 - CUSTOS DIRETOS1.012.001.003</v>
          </cell>
          <cell r="L572">
            <v>67483.63</v>
          </cell>
          <cell r="N572">
            <v>43021.740000000005</v>
          </cell>
          <cell r="O572">
            <v>586.4</v>
          </cell>
          <cell r="P572">
            <v>0</v>
          </cell>
          <cell r="Q572">
            <v>0</v>
          </cell>
          <cell r="R572">
            <v>43608.140000000007</v>
          </cell>
          <cell r="T572">
            <v>23875.489999999998</v>
          </cell>
          <cell r="U572">
            <v>67483.63</v>
          </cell>
          <cell r="V572">
            <v>0</v>
          </cell>
        </row>
        <row r="573">
          <cell r="D573" t="str">
            <v>Corrimão Duplo Da Escada De Emergência, H=70Cm E H=92Cm</v>
          </cell>
          <cell r="E573">
            <v>88.63</v>
          </cell>
          <cell r="F573" t="str">
            <v>vb</v>
          </cell>
          <cell r="G573">
            <v>22284.89</v>
          </cell>
          <cell r="H573">
            <v>0</v>
          </cell>
          <cell r="I573" t="str">
            <v>01.012.001.004 - Corrimão Duplo Da Escada De Emergência, H=70Cm E H=92Cm</v>
          </cell>
          <cell r="J573" t="str">
            <v>3 - CUSTOS DIRETOS</v>
          </cell>
          <cell r="K573" t="str">
            <v>3 - CUSTOS DIRETOS1.012.001.004</v>
          </cell>
          <cell r="L573">
            <v>22284.89</v>
          </cell>
          <cell r="N573">
            <v>15488.41</v>
          </cell>
          <cell r="O573">
            <v>0</v>
          </cell>
          <cell r="P573">
            <v>0</v>
          </cell>
          <cell r="Q573">
            <v>0</v>
          </cell>
          <cell r="R573">
            <v>15488.41</v>
          </cell>
          <cell r="T573">
            <v>6796.48</v>
          </cell>
          <cell r="U573">
            <v>22284.89</v>
          </cell>
          <cell r="V573">
            <v>0</v>
          </cell>
        </row>
        <row r="574">
          <cell r="D574" t="str">
            <v>Escada Metálica Tipo Marinheiro Com Proteção (Ático)</v>
          </cell>
          <cell r="E574">
            <v>2.72</v>
          </cell>
          <cell r="F574" t="str">
            <v>vb</v>
          </cell>
          <cell r="G574">
            <v>2843.9</v>
          </cell>
          <cell r="H574">
            <v>0</v>
          </cell>
          <cell r="I574" t="str">
            <v>01.012.001.005 - Escada Metálica Tipo Marinheiro Com Proteção (Ático)</v>
          </cell>
          <cell r="J574" t="str">
            <v>3 - CUSTOS DIRETOS</v>
          </cell>
          <cell r="K574" t="str">
            <v>3 - CUSTOS DIRETOS1.012.001.005</v>
          </cell>
          <cell r="L574">
            <v>2843.9</v>
          </cell>
          <cell r="N574">
            <v>4482</v>
          </cell>
          <cell r="O574">
            <v>0</v>
          </cell>
          <cell r="P574">
            <v>0</v>
          </cell>
          <cell r="Q574">
            <v>0</v>
          </cell>
          <cell r="R574">
            <v>4482</v>
          </cell>
          <cell r="T574">
            <v>0</v>
          </cell>
          <cell r="U574">
            <v>4482</v>
          </cell>
          <cell r="V574">
            <v>-1638.1</v>
          </cell>
        </row>
        <row r="575">
          <cell r="D575" t="str">
            <v>Grelha De Ventilação</v>
          </cell>
          <cell r="E575">
            <v>40.68</v>
          </cell>
          <cell r="F575" t="str">
            <v>vb</v>
          </cell>
          <cell r="G575">
            <v>31391.93</v>
          </cell>
          <cell r="H575">
            <v>0</v>
          </cell>
          <cell r="I575" t="str">
            <v>01.012.001.006 - Grelha De Ventilação</v>
          </cell>
          <cell r="J575" t="str">
            <v>3 - CUSTOS DIRETOS</v>
          </cell>
          <cell r="K575" t="str">
            <v>3 - CUSTOS DIRETOS1.012.001.006</v>
          </cell>
          <cell r="L575">
            <v>31391.93</v>
          </cell>
          <cell r="N575">
            <v>32469.93</v>
          </cell>
          <cell r="O575">
            <v>1300</v>
          </cell>
          <cell r="P575">
            <v>15194.97</v>
          </cell>
          <cell r="Q575">
            <v>0</v>
          </cell>
          <cell r="R575">
            <v>48964.9</v>
          </cell>
          <cell r="T575">
            <v>0</v>
          </cell>
          <cell r="U575">
            <v>48964.9</v>
          </cell>
          <cell r="V575">
            <v>-17572.97</v>
          </cell>
        </row>
        <row r="576">
          <cell r="D576" t="str">
            <v>Pcf1 - Porta Resistente Ao Fogo P90, Abrir (1 Folha) 90X210Cm</v>
          </cell>
          <cell r="E576">
            <v>35</v>
          </cell>
          <cell r="F576" t="str">
            <v>vb</v>
          </cell>
          <cell r="G576">
            <v>50750</v>
          </cell>
          <cell r="H576">
            <v>0</v>
          </cell>
          <cell r="I576" t="str">
            <v>01.012.001.007 - Pcf1 - Porta Resistente Ao Fogo P90, Abrir (1 Folha) 90X210Cm</v>
          </cell>
          <cell r="J576" t="str">
            <v>3 - CUSTOS DIRETOS</v>
          </cell>
          <cell r="K576" t="str">
            <v>3 - CUSTOS DIRETOS1.012.001.007</v>
          </cell>
          <cell r="L576">
            <v>50750</v>
          </cell>
          <cell r="N576">
            <v>0</v>
          </cell>
          <cell r="O576">
            <v>0</v>
          </cell>
          <cell r="P576">
            <v>49363.05999999999</v>
          </cell>
          <cell r="Q576">
            <v>0</v>
          </cell>
          <cell r="R576">
            <v>49363.05999999999</v>
          </cell>
          <cell r="T576">
            <v>0</v>
          </cell>
          <cell r="U576">
            <v>49363.05999999999</v>
          </cell>
          <cell r="V576">
            <v>1386.9400000000096</v>
          </cell>
        </row>
        <row r="577">
          <cell r="D577" t="str">
            <v>Pcf2 - Porta Resistente Ao Fogo P90, Abrir (1 Folha) 100X210Cm</v>
          </cell>
          <cell r="E577">
            <v>1</v>
          </cell>
          <cell r="F577" t="str">
            <v>vb</v>
          </cell>
          <cell r="G577">
            <v>1450</v>
          </cell>
          <cell r="H577">
            <v>0</v>
          </cell>
          <cell r="I577" t="str">
            <v>01.012.001.008 - Pcf2 - Porta Resistente Ao Fogo P90, Abrir (1 Folha) 100X210Cm</v>
          </cell>
          <cell r="J577" t="str">
            <v>3 - CUSTOS DIRETOS</v>
          </cell>
          <cell r="K577" t="str">
            <v>3 - CUSTOS DIRETOS1.012.001.008</v>
          </cell>
          <cell r="L577">
            <v>1450</v>
          </cell>
          <cell r="N577">
            <v>0</v>
          </cell>
          <cell r="O577">
            <v>0</v>
          </cell>
          <cell r="P577">
            <v>1410.34</v>
          </cell>
          <cell r="Q577">
            <v>0</v>
          </cell>
          <cell r="R577">
            <v>1410.34</v>
          </cell>
          <cell r="T577">
            <v>0</v>
          </cell>
          <cell r="U577">
            <v>1410.34</v>
          </cell>
          <cell r="V577">
            <v>39.660000000000082</v>
          </cell>
        </row>
        <row r="578">
          <cell r="D578" t="str">
            <v>Pcf3 - Porta Resistente Ao Fogo P90, Abrir (1 Folha) 80X210Cm</v>
          </cell>
          <cell r="E578">
            <v>1</v>
          </cell>
          <cell r="F578" t="str">
            <v>vb</v>
          </cell>
          <cell r="G578">
            <v>1450</v>
          </cell>
          <cell r="H578">
            <v>0</v>
          </cell>
          <cell r="I578" t="str">
            <v>01.012.001.009 - Pcf3 - Porta Resistente Ao Fogo P90, Abrir (1 Folha) 80X210Cm</v>
          </cell>
          <cell r="J578" t="str">
            <v>3 - CUSTOS DIRETOS</v>
          </cell>
          <cell r="K578" t="str">
            <v>3 - CUSTOS DIRETOS1.012.001.009</v>
          </cell>
          <cell r="L578">
            <v>1450</v>
          </cell>
          <cell r="N578">
            <v>0</v>
          </cell>
          <cell r="O578">
            <v>0</v>
          </cell>
          <cell r="P578">
            <v>1410.34</v>
          </cell>
          <cell r="Q578">
            <v>0</v>
          </cell>
          <cell r="R578">
            <v>1410.34</v>
          </cell>
          <cell r="T578">
            <v>0</v>
          </cell>
          <cell r="U578">
            <v>1410.34</v>
          </cell>
          <cell r="V578">
            <v>39.660000000000082</v>
          </cell>
        </row>
        <row r="579">
          <cell r="D579" t="str">
            <v>Assentamento De Batente Para Porta Corta-Fogo</v>
          </cell>
          <cell r="E579">
            <v>37</v>
          </cell>
          <cell r="F579" t="str">
            <v>vb</v>
          </cell>
          <cell r="G579">
            <v>3937.77</v>
          </cell>
          <cell r="H579">
            <v>0</v>
          </cell>
          <cell r="I579" t="str">
            <v>01.012.001.010 - Assentamento De Batente Para Porta Corta-Fogo</v>
          </cell>
          <cell r="J579" t="str">
            <v>3 - CUSTOS DIRETOS</v>
          </cell>
          <cell r="K579" t="str">
            <v>3 - CUSTOS DIRETOS1.012.001.010</v>
          </cell>
          <cell r="L579">
            <v>3937.77</v>
          </cell>
          <cell r="N579">
            <v>7270.1100000000006</v>
          </cell>
          <cell r="O579">
            <v>0</v>
          </cell>
          <cell r="P579">
            <v>0</v>
          </cell>
          <cell r="Q579">
            <v>0</v>
          </cell>
          <cell r="R579">
            <v>7270.1100000000006</v>
          </cell>
          <cell r="T579">
            <v>0</v>
          </cell>
          <cell r="U579">
            <v>7270.1100000000006</v>
          </cell>
          <cell r="V579">
            <v>-3332.3400000000006</v>
          </cell>
        </row>
        <row r="580">
          <cell r="D580" t="str">
            <v>REVESTIMENTO DE GESSO PROJETADO</v>
          </cell>
          <cell r="I580" t="str">
            <v>01.013 - REVESTIMENTO DE GESSO PROJETADO</v>
          </cell>
          <cell r="J580" t="str">
            <v>3 - CUSTOS DIRETOS</v>
          </cell>
          <cell r="K580" t="str">
            <v>3 - CUSTOS DIRETOS1.013</v>
          </cell>
          <cell r="L580">
            <v>766689.91999999993</v>
          </cell>
          <cell r="N580">
            <v>550896.84000000008</v>
          </cell>
          <cell r="O580">
            <v>0</v>
          </cell>
          <cell r="P580">
            <v>0</v>
          </cell>
          <cell r="Q580">
            <v>0</v>
          </cell>
          <cell r="R580">
            <v>550896.84000000008</v>
          </cell>
          <cell r="T580">
            <v>46113.64</v>
          </cell>
          <cell r="U580">
            <v>597010.4800000001</v>
          </cell>
          <cell r="V580">
            <v>169679.43999999983</v>
          </cell>
        </row>
        <row r="581">
          <cell r="D581" t="str">
            <v>TALISCAMENTO DE PAREDE INTERNA</v>
          </cell>
          <cell r="I581" t="str">
            <v>01.013.001 - TALISCAMENTO DE PAREDE INTERNA</v>
          </cell>
          <cell r="J581" t="str">
            <v>3 - CUSTOS DIRETOS</v>
          </cell>
          <cell r="K581" t="str">
            <v>3 - CUSTOS DIRETOS1.013.001</v>
          </cell>
          <cell r="L581">
            <v>65539.199999999997</v>
          </cell>
          <cell r="N581">
            <v>30438.5</v>
          </cell>
          <cell r="O581">
            <v>0</v>
          </cell>
          <cell r="P581">
            <v>0</v>
          </cell>
          <cell r="Q581">
            <v>0</v>
          </cell>
          <cell r="R581">
            <v>30438.5</v>
          </cell>
          <cell r="T581">
            <v>3736.54</v>
          </cell>
          <cell r="U581">
            <v>34175.040000000001</v>
          </cell>
          <cell r="V581">
            <v>31364.159999999996</v>
          </cell>
        </row>
        <row r="582">
          <cell r="D582" t="str">
            <v>Taliscamento De Parede Interna - Subsolo</v>
          </cell>
          <cell r="E582">
            <v>940.18</v>
          </cell>
          <cell r="F582" t="str">
            <v>vb</v>
          </cell>
          <cell r="G582">
            <v>2466.09</v>
          </cell>
          <cell r="H582">
            <v>0</v>
          </cell>
          <cell r="I582" t="str">
            <v>01.013.001.001 - Taliscamento De Parede Interna - Subsolo</v>
          </cell>
          <cell r="J582" t="str">
            <v>3 - CUSTOS DIRETOS</v>
          </cell>
          <cell r="K582" t="str">
            <v>3 - CUSTOS DIRETOS1.013.001.001</v>
          </cell>
          <cell r="L582">
            <v>2466.09</v>
          </cell>
          <cell r="N582">
            <v>2507.0300000000002</v>
          </cell>
          <cell r="O582">
            <v>0</v>
          </cell>
          <cell r="P582">
            <v>0</v>
          </cell>
          <cell r="Q582">
            <v>0</v>
          </cell>
          <cell r="R582">
            <v>2507.0300000000002</v>
          </cell>
          <cell r="T582">
            <v>0</v>
          </cell>
          <cell r="U582">
            <v>2507.0300000000002</v>
          </cell>
          <cell r="V582">
            <v>-40.940000000000055</v>
          </cell>
        </row>
        <row r="583">
          <cell r="D583" t="str">
            <v>Taliscamento De Parede Interna - Térreo</v>
          </cell>
          <cell r="E583">
            <v>1424.53</v>
          </cell>
          <cell r="F583" t="str">
            <v>vb</v>
          </cell>
          <cell r="G583">
            <v>3736.54</v>
          </cell>
          <cell r="H583">
            <v>0</v>
          </cell>
          <cell r="I583" t="str">
            <v>01.013.001.002 - Taliscamento De Parede Interna - Térreo</v>
          </cell>
          <cell r="J583" t="str">
            <v>3 - CUSTOS DIRETOS</v>
          </cell>
          <cell r="K583" t="str">
            <v>3 - CUSTOS DIRETOS1.013.001.002</v>
          </cell>
          <cell r="L583">
            <v>3736.54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T583">
            <v>3736.54</v>
          </cell>
          <cell r="U583">
            <v>3736.54</v>
          </cell>
          <cell r="V583">
            <v>0</v>
          </cell>
        </row>
        <row r="584">
          <cell r="D584" t="str">
            <v>Taliscamento De Parede Interna - 1º Pav. Tipo</v>
          </cell>
          <cell r="E584">
            <v>1478.91</v>
          </cell>
          <cell r="F584" t="str">
            <v>vb</v>
          </cell>
          <cell r="G584">
            <v>3879.18</v>
          </cell>
          <cell r="H584">
            <v>0</v>
          </cell>
          <cell r="I584" t="str">
            <v>01.013.001.003 - Taliscamento De Parede Interna - 1º Pav. Tipo</v>
          </cell>
          <cell r="J584" t="str">
            <v>3 - CUSTOS DIRETOS</v>
          </cell>
          <cell r="K584" t="str">
            <v>3 - CUSTOS DIRETOS1.013.001.003</v>
          </cell>
          <cell r="L584">
            <v>3879.18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T584">
            <v>0</v>
          </cell>
          <cell r="U584">
            <v>0</v>
          </cell>
          <cell r="V584">
            <v>3879.18</v>
          </cell>
        </row>
        <row r="585">
          <cell r="D585" t="str">
            <v>Taliscamento De Parede Interna - 2º Pav. Tipo</v>
          </cell>
          <cell r="E585">
            <v>1478.91</v>
          </cell>
          <cell r="F585" t="str">
            <v>vb</v>
          </cell>
          <cell r="G585">
            <v>3879.18</v>
          </cell>
          <cell r="H585">
            <v>0</v>
          </cell>
          <cell r="I585" t="str">
            <v>01.013.001.004 - Taliscamento De Parede Interna - 2º Pav. Tipo</v>
          </cell>
          <cell r="J585" t="str">
            <v>3 - CUSTOS DIRETOS</v>
          </cell>
          <cell r="K585" t="str">
            <v>3 - CUSTOS DIRETOS1.013.001.004</v>
          </cell>
          <cell r="L585">
            <v>3879.18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T585">
            <v>0</v>
          </cell>
          <cell r="U585">
            <v>0</v>
          </cell>
          <cell r="V585">
            <v>3879.18</v>
          </cell>
        </row>
        <row r="586">
          <cell r="D586" t="str">
            <v>Taliscamento De Parede Interna - 3º Pav. Tipo</v>
          </cell>
          <cell r="E586">
            <v>1478.91</v>
          </cell>
          <cell r="F586" t="str">
            <v>vb</v>
          </cell>
          <cell r="G586">
            <v>3879.18</v>
          </cell>
          <cell r="H586">
            <v>0</v>
          </cell>
          <cell r="I586" t="str">
            <v>01.013.001.005 - Taliscamento De Parede Interna - 3º Pav. Tipo</v>
          </cell>
          <cell r="J586" t="str">
            <v>3 - CUSTOS DIRETOS</v>
          </cell>
          <cell r="K586" t="str">
            <v>3 - CUSTOS DIRETOS1.013.001.005</v>
          </cell>
          <cell r="L586">
            <v>3879.18</v>
          </cell>
          <cell r="N586">
            <v>4115.3599999999997</v>
          </cell>
          <cell r="O586">
            <v>0</v>
          </cell>
          <cell r="P586">
            <v>0</v>
          </cell>
          <cell r="Q586">
            <v>0</v>
          </cell>
          <cell r="R586">
            <v>4115.3599999999997</v>
          </cell>
          <cell r="T586">
            <v>0</v>
          </cell>
          <cell r="U586">
            <v>4115.3599999999997</v>
          </cell>
          <cell r="V586">
            <v>-236.17999999999984</v>
          </cell>
        </row>
        <row r="587">
          <cell r="D587" t="str">
            <v>Taliscamento De Parede Interna - 4º Pav. Tipo</v>
          </cell>
          <cell r="E587">
            <v>1478.91</v>
          </cell>
          <cell r="F587" t="str">
            <v>vb</v>
          </cell>
          <cell r="G587">
            <v>3879.18</v>
          </cell>
          <cell r="H587">
            <v>0</v>
          </cell>
          <cell r="I587" t="str">
            <v>01.013.001.006 - Taliscamento De Parede Interna - 4º Pav. Tipo</v>
          </cell>
          <cell r="J587" t="str">
            <v>3 - CUSTOS DIRETOS</v>
          </cell>
          <cell r="K587" t="str">
            <v>3 - CUSTOS DIRETOS1.013.001.006</v>
          </cell>
          <cell r="L587">
            <v>3879.18</v>
          </cell>
          <cell r="N587">
            <v>4918.04</v>
          </cell>
          <cell r="O587">
            <v>0</v>
          </cell>
          <cell r="P587">
            <v>0</v>
          </cell>
          <cell r="Q587">
            <v>0</v>
          </cell>
          <cell r="R587">
            <v>4918.04</v>
          </cell>
          <cell r="T587">
            <v>0</v>
          </cell>
          <cell r="U587">
            <v>4918.04</v>
          </cell>
          <cell r="V587">
            <v>-1038.8600000000001</v>
          </cell>
        </row>
        <row r="588">
          <cell r="D588" t="str">
            <v>Taliscamento De Parede Interna - 5º Pav. Tipo</v>
          </cell>
          <cell r="E588">
            <v>1478.91</v>
          </cell>
          <cell r="F588" t="str">
            <v>vb</v>
          </cell>
          <cell r="G588">
            <v>3879.18</v>
          </cell>
          <cell r="H588">
            <v>0</v>
          </cell>
          <cell r="I588" t="str">
            <v>01.013.001.007 - Taliscamento De Parede Interna - 5º Pav. Tipo</v>
          </cell>
          <cell r="J588" t="str">
            <v>3 - CUSTOS DIRETOS</v>
          </cell>
          <cell r="K588" t="str">
            <v>3 - CUSTOS DIRETOS1.013.001.007</v>
          </cell>
          <cell r="L588">
            <v>3879.18</v>
          </cell>
          <cell r="N588">
            <v>4959.34</v>
          </cell>
          <cell r="O588">
            <v>0</v>
          </cell>
          <cell r="P588">
            <v>0</v>
          </cell>
          <cell r="Q588">
            <v>0</v>
          </cell>
          <cell r="R588">
            <v>4959.34</v>
          </cell>
          <cell r="T588">
            <v>0</v>
          </cell>
          <cell r="U588">
            <v>4959.34</v>
          </cell>
          <cell r="V588">
            <v>-1080.1600000000003</v>
          </cell>
        </row>
        <row r="589">
          <cell r="D589" t="str">
            <v>Taliscamento De Parede Interna - 6º Pav. Tipo</v>
          </cell>
          <cell r="E589">
            <v>1478.91</v>
          </cell>
          <cell r="F589" t="str">
            <v>vb</v>
          </cell>
          <cell r="G589">
            <v>3879.18</v>
          </cell>
          <cell r="H589">
            <v>0</v>
          </cell>
          <cell r="I589" t="str">
            <v>01.013.001.008 - Taliscamento De Parede Interna - 6º Pav. Tipo</v>
          </cell>
          <cell r="J589" t="str">
            <v>3 - CUSTOS DIRETOS</v>
          </cell>
          <cell r="K589" t="str">
            <v>3 - CUSTOS DIRETOS1.013.001.008</v>
          </cell>
          <cell r="L589">
            <v>3879.18</v>
          </cell>
          <cell r="N589">
            <v>658.13</v>
          </cell>
          <cell r="O589">
            <v>0</v>
          </cell>
          <cell r="P589">
            <v>0</v>
          </cell>
          <cell r="Q589">
            <v>0</v>
          </cell>
          <cell r="R589">
            <v>658.13</v>
          </cell>
          <cell r="T589">
            <v>0</v>
          </cell>
          <cell r="U589">
            <v>658.13</v>
          </cell>
          <cell r="V589">
            <v>3221.0499999999997</v>
          </cell>
        </row>
        <row r="590">
          <cell r="D590" t="str">
            <v>Taliscamento De Parede Interna - 7º Pav. Tipo</v>
          </cell>
          <cell r="E590">
            <v>1478.91</v>
          </cell>
          <cell r="F590" t="str">
            <v>vb</v>
          </cell>
          <cell r="G590">
            <v>3879.18</v>
          </cell>
          <cell r="H590">
            <v>0</v>
          </cell>
          <cell r="I590" t="str">
            <v>01.013.001.009 - Taliscamento De Parede Interna - 7º Pav. Tipo</v>
          </cell>
          <cell r="J590" t="str">
            <v>3 - CUSTOS DIRETOS</v>
          </cell>
          <cell r="K590" t="str">
            <v>3 - CUSTOS DIRETOS1.013.001.009</v>
          </cell>
          <cell r="L590">
            <v>3879.18</v>
          </cell>
          <cell r="N590">
            <v>3141.33</v>
          </cell>
          <cell r="O590">
            <v>0</v>
          </cell>
          <cell r="P590">
            <v>0</v>
          </cell>
          <cell r="Q590">
            <v>0</v>
          </cell>
          <cell r="R590">
            <v>3141.33</v>
          </cell>
          <cell r="T590">
            <v>0</v>
          </cell>
          <cell r="U590">
            <v>3141.33</v>
          </cell>
          <cell r="V590">
            <v>737.84999999999991</v>
          </cell>
        </row>
        <row r="591">
          <cell r="D591" t="str">
            <v>Taliscamento De Parede Interna - 8º Pav. Tipo</v>
          </cell>
          <cell r="E591">
            <v>1478.91</v>
          </cell>
          <cell r="F591" t="str">
            <v>vb</v>
          </cell>
          <cell r="G591">
            <v>3879.18</v>
          </cell>
          <cell r="H591">
            <v>0</v>
          </cell>
          <cell r="I591" t="str">
            <v>01.013.001.010 - Taliscamento De Parede Interna - 8º Pav. Tipo</v>
          </cell>
          <cell r="J591" t="str">
            <v>3 - CUSTOS DIRETOS</v>
          </cell>
          <cell r="K591" t="str">
            <v>3 - CUSTOS DIRETOS1.013.001.010</v>
          </cell>
          <cell r="L591">
            <v>3879.18</v>
          </cell>
          <cell r="N591">
            <v>2614.7800000000002</v>
          </cell>
          <cell r="O591">
            <v>0</v>
          </cell>
          <cell r="P591">
            <v>0</v>
          </cell>
          <cell r="Q591">
            <v>0</v>
          </cell>
          <cell r="R591">
            <v>2614.7800000000002</v>
          </cell>
          <cell r="T591">
            <v>0</v>
          </cell>
          <cell r="U591">
            <v>2614.7800000000002</v>
          </cell>
          <cell r="V591">
            <v>1264.3999999999996</v>
          </cell>
        </row>
        <row r="592">
          <cell r="D592" t="str">
            <v>Taliscamento De Parede Interna - 9º Pav. Tipo</v>
          </cell>
          <cell r="E592">
            <v>1478.91</v>
          </cell>
          <cell r="F592" t="str">
            <v>vb</v>
          </cell>
          <cell r="G592">
            <v>3879.18</v>
          </cell>
          <cell r="H592">
            <v>0</v>
          </cell>
          <cell r="I592" t="str">
            <v>01.013.001.011 - Taliscamento De Parede Interna - 9º Pav. Tipo</v>
          </cell>
          <cell r="J592" t="str">
            <v>3 - CUSTOS DIRETOS</v>
          </cell>
          <cell r="K592" t="str">
            <v>3 - CUSTOS DIRETOS1.013.001.011</v>
          </cell>
          <cell r="L592">
            <v>3879.18</v>
          </cell>
          <cell r="N592">
            <v>3920.9300000000003</v>
          </cell>
          <cell r="O592">
            <v>0</v>
          </cell>
          <cell r="P592">
            <v>0</v>
          </cell>
          <cell r="Q592">
            <v>0</v>
          </cell>
          <cell r="R592">
            <v>3920.9300000000003</v>
          </cell>
          <cell r="T592">
            <v>0</v>
          </cell>
          <cell r="U592">
            <v>3920.9300000000003</v>
          </cell>
          <cell r="V592">
            <v>-41.750000000000455</v>
          </cell>
        </row>
        <row r="593">
          <cell r="D593" t="str">
            <v>Taliscamento De Parede Interna - 10º Pav. Tipo</v>
          </cell>
          <cell r="E593">
            <v>1478.91</v>
          </cell>
          <cell r="F593" t="str">
            <v>vb</v>
          </cell>
          <cell r="G593">
            <v>3879.18</v>
          </cell>
          <cell r="H593">
            <v>0</v>
          </cell>
          <cell r="I593" t="str">
            <v>01.013.001.012 - Taliscamento De Parede Interna - 10º Pav. Tipo</v>
          </cell>
          <cell r="J593" t="str">
            <v>3 - CUSTOS DIRETOS</v>
          </cell>
          <cell r="K593" t="str">
            <v>3 - CUSTOS DIRETOS1.013.001.012</v>
          </cell>
          <cell r="L593">
            <v>3879.18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T593">
            <v>0</v>
          </cell>
          <cell r="U593">
            <v>0</v>
          </cell>
          <cell r="V593">
            <v>3879.18</v>
          </cell>
        </row>
        <row r="594">
          <cell r="D594" t="str">
            <v>Taliscamento De Parede Interna - 11º Pav. Tipo</v>
          </cell>
          <cell r="E594">
            <v>1478.91</v>
          </cell>
          <cell r="F594" t="str">
            <v>vb</v>
          </cell>
          <cell r="G594">
            <v>3879.18</v>
          </cell>
          <cell r="H594">
            <v>0</v>
          </cell>
          <cell r="I594" t="str">
            <v>01.013.001.013 - Taliscamento De Parede Interna - 11º Pav. Tipo</v>
          </cell>
          <cell r="J594" t="str">
            <v>3 - CUSTOS DIRETOS</v>
          </cell>
          <cell r="K594" t="str">
            <v>3 - CUSTOS DIRETOS1.013.001.013</v>
          </cell>
          <cell r="L594">
            <v>3879.18</v>
          </cell>
          <cell r="N594">
            <v>1774.89</v>
          </cell>
          <cell r="O594">
            <v>0</v>
          </cell>
          <cell r="P594">
            <v>0</v>
          </cell>
          <cell r="Q594">
            <v>0</v>
          </cell>
          <cell r="R594">
            <v>1774.89</v>
          </cell>
          <cell r="T594">
            <v>0</v>
          </cell>
          <cell r="U594">
            <v>1774.89</v>
          </cell>
          <cell r="V594">
            <v>2104.29</v>
          </cell>
        </row>
        <row r="595">
          <cell r="D595" t="str">
            <v>Taliscamento De Parede Interna - 12º Pav. Tipo</v>
          </cell>
          <cell r="E595">
            <v>1478.91</v>
          </cell>
          <cell r="F595" t="str">
            <v>vb</v>
          </cell>
          <cell r="G595">
            <v>3879.18</v>
          </cell>
          <cell r="H595">
            <v>0</v>
          </cell>
          <cell r="I595" t="str">
            <v>01.013.001.014 - Taliscamento De Parede Interna - 12º Pav. Tipo</v>
          </cell>
          <cell r="J595" t="str">
            <v>3 - CUSTOS DIRETOS</v>
          </cell>
          <cell r="K595" t="str">
            <v>3 - CUSTOS DIRETOS1.013.001.014</v>
          </cell>
          <cell r="L595">
            <v>3879.18</v>
          </cell>
          <cell r="N595">
            <v>1828.67</v>
          </cell>
          <cell r="O595">
            <v>0</v>
          </cell>
          <cell r="P595">
            <v>0</v>
          </cell>
          <cell r="Q595">
            <v>0</v>
          </cell>
          <cell r="R595">
            <v>1828.67</v>
          </cell>
          <cell r="T595">
            <v>0</v>
          </cell>
          <cell r="U595">
            <v>1828.67</v>
          </cell>
          <cell r="V595">
            <v>2050.5099999999998</v>
          </cell>
        </row>
        <row r="596">
          <cell r="D596" t="str">
            <v>Taliscamento De Parede Interna - 13º Pav. Tipo</v>
          </cell>
          <cell r="E596">
            <v>1478.91</v>
          </cell>
          <cell r="F596" t="str">
            <v>vb</v>
          </cell>
          <cell r="G596">
            <v>3879.18</v>
          </cell>
          <cell r="H596">
            <v>0</v>
          </cell>
          <cell r="I596" t="str">
            <v>01.013.001.015 - Taliscamento De Parede Interna - 13º Pav. Tipo</v>
          </cell>
          <cell r="J596" t="str">
            <v>3 - CUSTOS DIRETOS</v>
          </cell>
          <cell r="K596" t="str">
            <v>3 - CUSTOS DIRETOS1.013.001.015</v>
          </cell>
          <cell r="L596">
            <v>3879.18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T596">
            <v>0</v>
          </cell>
          <cell r="U596">
            <v>0</v>
          </cell>
          <cell r="V596">
            <v>3879.18</v>
          </cell>
        </row>
        <row r="597">
          <cell r="D597" t="str">
            <v>Taliscamento De Parede Interna - 14º Pav. Tipo</v>
          </cell>
          <cell r="E597">
            <v>1478.91</v>
          </cell>
          <cell r="F597" t="str">
            <v>vb</v>
          </cell>
          <cell r="G597">
            <v>3879.18</v>
          </cell>
          <cell r="H597">
            <v>0</v>
          </cell>
          <cell r="I597" t="str">
            <v>01.013.001.016 - Taliscamento De Parede Interna - 14º Pav. Tipo</v>
          </cell>
          <cell r="J597" t="str">
            <v>3 - CUSTOS DIRETOS</v>
          </cell>
          <cell r="K597" t="str">
            <v>3 - CUSTOS DIRETOS1.013.001.016</v>
          </cell>
          <cell r="L597">
            <v>3879.18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T597">
            <v>0</v>
          </cell>
          <cell r="U597">
            <v>0</v>
          </cell>
          <cell r="V597">
            <v>3879.18</v>
          </cell>
        </row>
        <row r="598">
          <cell r="D598" t="str">
            <v>Taliscamento De Parede Interna - 15º Pav. Tipo</v>
          </cell>
          <cell r="E598">
            <v>1478.91</v>
          </cell>
          <cell r="F598" t="str">
            <v>vb</v>
          </cell>
          <cell r="G598">
            <v>3879.18</v>
          </cell>
          <cell r="H598">
            <v>0</v>
          </cell>
          <cell r="I598" t="str">
            <v>01.013.001.017 - Taliscamento De Parede Interna - 15º Pav. Tipo</v>
          </cell>
          <cell r="J598" t="str">
            <v>3 - CUSTOS DIRETOS</v>
          </cell>
          <cell r="K598" t="str">
            <v>3 - CUSTOS DIRETOS1.013.001.017</v>
          </cell>
          <cell r="L598">
            <v>3879.18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T598">
            <v>0</v>
          </cell>
          <cell r="U598">
            <v>0</v>
          </cell>
          <cell r="V598">
            <v>3879.18</v>
          </cell>
        </row>
        <row r="599">
          <cell r="D599" t="str">
            <v>Taliscamento De Parede Interna - Cobertura</v>
          </cell>
          <cell r="E599">
            <v>438</v>
          </cell>
          <cell r="F599" t="str">
            <v>vb</v>
          </cell>
          <cell r="G599">
            <v>1148.8699999999999</v>
          </cell>
          <cell r="H599">
            <v>0</v>
          </cell>
          <cell r="I599" t="str">
            <v>01.013.001.018 - Taliscamento De Parede Interna - Cobertura</v>
          </cell>
          <cell r="J599" t="str">
            <v>3 - CUSTOS DIRETOS</v>
          </cell>
          <cell r="K599" t="str">
            <v>3 - CUSTOS DIRETOS1.013.001.018</v>
          </cell>
          <cell r="L599">
            <v>1148.8699999999999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T599">
            <v>0</v>
          </cell>
          <cell r="U599">
            <v>0</v>
          </cell>
          <cell r="V599">
            <v>1148.8699999999999</v>
          </cell>
        </row>
        <row r="600">
          <cell r="D600" t="str">
            <v>GESSO PROJETADO</v>
          </cell>
          <cell r="I600" t="str">
            <v>01.013.002 - GESSO PROJETADO</v>
          </cell>
          <cell r="J600" t="str">
            <v>3 - CUSTOS DIRETOS</v>
          </cell>
          <cell r="K600" t="str">
            <v>3 - CUSTOS DIRETOS1.013.002</v>
          </cell>
          <cell r="L600">
            <v>701150.71999999997</v>
          </cell>
          <cell r="N600">
            <v>520458.34000000008</v>
          </cell>
          <cell r="O600">
            <v>0</v>
          </cell>
          <cell r="P600">
            <v>0</v>
          </cell>
          <cell r="Q600">
            <v>0</v>
          </cell>
          <cell r="R600">
            <v>520458.34000000008</v>
          </cell>
          <cell r="T600">
            <v>42377.1</v>
          </cell>
          <cell r="U600">
            <v>562835.44000000006</v>
          </cell>
          <cell r="V600">
            <v>138315.27999999991</v>
          </cell>
        </row>
        <row r="601">
          <cell r="D601" t="str">
            <v>Gesso Projetado - Subsolo</v>
          </cell>
          <cell r="E601">
            <v>940.18</v>
          </cell>
          <cell r="F601" t="str">
            <v>vb</v>
          </cell>
          <cell r="G601">
            <v>26325.42</v>
          </cell>
          <cell r="H601">
            <v>0</v>
          </cell>
          <cell r="I601" t="str">
            <v>01.013.002.001 - Gesso Projetado - Subsolo</v>
          </cell>
          <cell r="J601" t="str">
            <v>3 - CUSTOS DIRETOS</v>
          </cell>
          <cell r="K601" t="str">
            <v>3 - CUSTOS DIRETOS1.013.002.001</v>
          </cell>
          <cell r="L601">
            <v>26325.42</v>
          </cell>
          <cell r="N601">
            <v>-967.03</v>
          </cell>
          <cell r="O601">
            <v>0</v>
          </cell>
          <cell r="P601">
            <v>0</v>
          </cell>
          <cell r="Q601">
            <v>0</v>
          </cell>
          <cell r="R601">
            <v>-967.03</v>
          </cell>
          <cell r="T601">
            <v>0</v>
          </cell>
          <cell r="U601">
            <v>-967.03</v>
          </cell>
          <cell r="V601">
            <v>27292.449999999997</v>
          </cell>
        </row>
        <row r="602">
          <cell r="D602" t="str">
            <v>Gesso Projetado - Térreo</v>
          </cell>
          <cell r="E602">
            <v>1478.91</v>
          </cell>
          <cell r="F602" t="str">
            <v>vb</v>
          </cell>
          <cell r="G602">
            <v>41410.07</v>
          </cell>
          <cell r="H602">
            <v>0</v>
          </cell>
          <cell r="I602" t="str">
            <v>01.013.002.002 - Gesso Projetado - Térreo</v>
          </cell>
          <cell r="J602" t="str">
            <v>3 - CUSTOS DIRETOS</v>
          </cell>
          <cell r="K602" t="str">
            <v>3 - CUSTOS DIRETOS1.013.002.002</v>
          </cell>
          <cell r="L602">
            <v>41410.07</v>
          </cell>
          <cell r="N602">
            <v>-967.03</v>
          </cell>
          <cell r="O602">
            <v>0</v>
          </cell>
          <cell r="P602">
            <v>0</v>
          </cell>
          <cell r="Q602">
            <v>0</v>
          </cell>
          <cell r="R602">
            <v>-967.03</v>
          </cell>
          <cell r="T602">
            <v>42377.1</v>
          </cell>
          <cell r="U602">
            <v>41410.07</v>
          </cell>
          <cell r="V602">
            <v>0</v>
          </cell>
        </row>
        <row r="603">
          <cell r="D603" t="str">
            <v>Gesso Projetado - 1º Pav. Tipo</v>
          </cell>
          <cell r="E603">
            <v>1478.91</v>
          </cell>
          <cell r="F603" t="str">
            <v>vb</v>
          </cell>
          <cell r="G603">
            <v>41410.07</v>
          </cell>
          <cell r="H603">
            <v>0</v>
          </cell>
          <cell r="I603" t="str">
            <v>01.013.002.003 - Gesso Projetado - 1º Pav. Tipo</v>
          </cell>
          <cell r="J603" t="str">
            <v>3 - CUSTOS DIRETOS</v>
          </cell>
          <cell r="K603" t="str">
            <v>3 - CUSTOS DIRETOS1.013.002.003</v>
          </cell>
          <cell r="L603">
            <v>41410.07</v>
          </cell>
          <cell r="N603">
            <v>37820.180000000008</v>
          </cell>
          <cell r="O603">
            <v>0</v>
          </cell>
          <cell r="P603">
            <v>0</v>
          </cell>
          <cell r="Q603">
            <v>0</v>
          </cell>
          <cell r="R603">
            <v>37820.180000000008</v>
          </cell>
          <cell r="T603">
            <v>0</v>
          </cell>
          <cell r="U603">
            <v>37820.180000000008</v>
          </cell>
          <cell r="V603">
            <v>3589.8899999999921</v>
          </cell>
        </row>
        <row r="604">
          <cell r="D604" t="str">
            <v>Gesso Projetado - 2º Pav. Tipo</v>
          </cell>
          <cell r="E604">
            <v>1478.91</v>
          </cell>
          <cell r="F604" t="str">
            <v>vb</v>
          </cell>
          <cell r="G604">
            <v>41410.07</v>
          </cell>
          <cell r="H604">
            <v>0</v>
          </cell>
          <cell r="I604" t="str">
            <v>01.013.002.004 - Gesso Projetado - 2º Pav. Tipo</v>
          </cell>
          <cell r="J604" t="str">
            <v>3 - CUSTOS DIRETOS</v>
          </cell>
          <cell r="K604" t="str">
            <v>3 - CUSTOS DIRETOS1.013.002.004</v>
          </cell>
          <cell r="L604">
            <v>41410.07</v>
          </cell>
          <cell r="N604">
            <v>30713.67</v>
          </cell>
          <cell r="O604">
            <v>0</v>
          </cell>
          <cell r="P604">
            <v>0</v>
          </cell>
          <cell r="Q604">
            <v>0</v>
          </cell>
          <cell r="R604">
            <v>30713.67</v>
          </cell>
          <cell r="T604">
            <v>0</v>
          </cell>
          <cell r="U604">
            <v>30713.67</v>
          </cell>
          <cell r="V604">
            <v>10696.400000000001</v>
          </cell>
        </row>
        <row r="605">
          <cell r="D605" t="str">
            <v>Gesso Projetado - 3º Pav. Tipo</v>
          </cell>
          <cell r="E605">
            <v>1478.91</v>
          </cell>
          <cell r="F605" t="str">
            <v>vb</v>
          </cell>
          <cell r="G605">
            <v>41410.07</v>
          </cell>
          <cell r="H605">
            <v>0</v>
          </cell>
          <cell r="I605" t="str">
            <v>01.013.002.005 - Gesso Projetado - 3º Pav. Tipo</v>
          </cell>
          <cell r="J605" t="str">
            <v>3 - CUSTOS DIRETOS</v>
          </cell>
          <cell r="K605" t="str">
            <v>3 - CUSTOS DIRETOS1.013.002.005</v>
          </cell>
          <cell r="L605">
            <v>41410.07</v>
          </cell>
          <cell r="N605">
            <v>46533.000000000007</v>
          </cell>
          <cell r="O605">
            <v>0</v>
          </cell>
          <cell r="P605">
            <v>0</v>
          </cell>
          <cell r="Q605">
            <v>0</v>
          </cell>
          <cell r="R605">
            <v>46533.000000000007</v>
          </cell>
          <cell r="T605">
            <v>0</v>
          </cell>
          <cell r="U605">
            <v>46533.000000000007</v>
          </cell>
          <cell r="V605">
            <v>-5122.9300000000076</v>
          </cell>
        </row>
        <row r="606">
          <cell r="D606" t="str">
            <v>Gesso Projetado - 4º Pav. Tipo</v>
          </cell>
          <cell r="E606">
            <v>1478.91</v>
          </cell>
          <cell r="F606" t="str">
            <v>vb</v>
          </cell>
          <cell r="G606">
            <v>41410.07</v>
          </cell>
          <cell r="H606">
            <v>0</v>
          </cell>
          <cell r="I606" t="str">
            <v>01.013.002.006 - Gesso Projetado - 4º Pav. Tipo</v>
          </cell>
          <cell r="J606" t="str">
            <v>3 - CUSTOS DIRETOS</v>
          </cell>
          <cell r="K606" t="str">
            <v>3 - CUSTOS DIRETOS1.013.002.006</v>
          </cell>
          <cell r="L606">
            <v>41410.07</v>
          </cell>
          <cell r="N606">
            <v>47487.640000000007</v>
          </cell>
          <cell r="O606">
            <v>0</v>
          </cell>
          <cell r="P606">
            <v>0</v>
          </cell>
          <cell r="Q606">
            <v>0</v>
          </cell>
          <cell r="R606">
            <v>47487.640000000007</v>
          </cell>
          <cell r="T606">
            <v>0</v>
          </cell>
          <cell r="U606">
            <v>47487.640000000007</v>
          </cell>
          <cell r="V606">
            <v>-6077.570000000007</v>
          </cell>
        </row>
        <row r="607">
          <cell r="D607" t="str">
            <v>Gesso Projetado - 5º Pav. Tipo</v>
          </cell>
          <cell r="E607">
            <v>1478.91</v>
          </cell>
          <cell r="F607" t="str">
            <v>vb</v>
          </cell>
          <cell r="G607">
            <v>41410.07</v>
          </cell>
          <cell r="H607">
            <v>0</v>
          </cell>
          <cell r="I607" t="str">
            <v>01.013.002.007 - Gesso Projetado - 5º Pav. Tipo</v>
          </cell>
          <cell r="J607" t="str">
            <v>3 - CUSTOS DIRETOS</v>
          </cell>
          <cell r="K607" t="str">
            <v>3 - CUSTOS DIRETOS1.013.002.007</v>
          </cell>
          <cell r="L607">
            <v>41410.07</v>
          </cell>
          <cell r="N607">
            <v>41786.549999999996</v>
          </cell>
          <cell r="O607">
            <v>0</v>
          </cell>
          <cell r="P607">
            <v>0</v>
          </cell>
          <cell r="Q607">
            <v>0</v>
          </cell>
          <cell r="R607">
            <v>41786.549999999996</v>
          </cell>
          <cell r="T607">
            <v>0</v>
          </cell>
          <cell r="U607">
            <v>41786.549999999996</v>
          </cell>
          <cell r="V607">
            <v>-376.47999999999593</v>
          </cell>
        </row>
        <row r="608">
          <cell r="D608" t="str">
            <v>Gesso Projetado - 6º Pav. Tipo</v>
          </cell>
          <cell r="E608">
            <v>1478.91</v>
          </cell>
          <cell r="F608" t="str">
            <v>vb</v>
          </cell>
          <cell r="G608">
            <v>41410.07</v>
          </cell>
          <cell r="H608">
            <v>0</v>
          </cell>
          <cell r="I608" t="str">
            <v>01.013.002.008 - Gesso Projetado - 6º Pav. Tipo</v>
          </cell>
          <cell r="J608" t="str">
            <v>3 - CUSTOS DIRETOS</v>
          </cell>
          <cell r="K608" t="str">
            <v>3 - CUSTOS DIRETOS1.013.002.008</v>
          </cell>
          <cell r="L608">
            <v>41410.07</v>
          </cell>
          <cell r="N608">
            <v>41519</v>
          </cell>
          <cell r="O608">
            <v>0</v>
          </cell>
          <cell r="P608">
            <v>0</v>
          </cell>
          <cell r="Q608">
            <v>0</v>
          </cell>
          <cell r="R608">
            <v>41519</v>
          </cell>
          <cell r="T608">
            <v>0</v>
          </cell>
          <cell r="U608">
            <v>41519</v>
          </cell>
          <cell r="V608">
            <v>-108.93000000000029</v>
          </cell>
        </row>
        <row r="609">
          <cell r="D609" t="str">
            <v>Gesso Projetado - 7º Pav. Tipo</v>
          </cell>
          <cell r="E609">
            <v>1478.91</v>
          </cell>
          <cell r="F609" t="str">
            <v>vb</v>
          </cell>
          <cell r="G609">
            <v>41410.07</v>
          </cell>
          <cell r="H609">
            <v>0</v>
          </cell>
          <cell r="I609" t="str">
            <v>01.013.002.009 - Gesso Projetado - 7º Pav. Tipo</v>
          </cell>
          <cell r="J609" t="str">
            <v>3 - CUSTOS DIRETOS</v>
          </cell>
          <cell r="K609" t="str">
            <v>3 - CUSTOS DIRETOS1.013.002.009</v>
          </cell>
          <cell r="L609">
            <v>41410.07</v>
          </cell>
          <cell r="N609">
            <v>30705.170000000002</v>
          </cell>
          <cell r="O609">
            <v>0</v>
          </cell>
          <cell r="P609">
            <v>0</v>
          </cell>
          <cell r="Q609">
            <v>0</v>
          </cell>
          <cell r="R609">
            <v>30705.170000000002</v>
          </cell>
          <cell r="T609">
            <v>0</v>
          </cell>
          <cell r="U609">
            <v>30705.170000000002</v>
          </cell>
          <cell r="V609">
            <v>10704.899999999998</v>
          </cell>
        </row>
        <row r="610">
          <cell r="D610" t="str">
            <v>Gesso Projetado - 8º Pav. Tipo</v>
          </cell>
          <cell r="E610">
            <v>1478.91</v>
          </cell>
          <cell r="F610" t="str">
            <v>vb</v>
          </cell>
          <cell r="G610">
            <v>41410.07</v>
          </cell>
          <cell r="H610">
            <v>0</v>
          </cell>
          <cell r="I610" t="str">
            <v>01.013.002.010 - Gesso Projetado - 8º Pav. Tipo</v>
          </cell>
          <cell r="J610" t="str">
            <v>3 - CUSTOS DIRETOS</v>
          </cell>
          <cell r="K610" t="str">
            <v>3 - CUSTOS DIRETOS1.013.002.010</v>
          </cell>
          <cell r="L610">
            <v>41410.07</v>
          </cell>
          <cell r="N610">
            <v>27820.32</v>
          </cell>
          <cell r="O610">
            <v>0</v>
          </cell>
          <cell r="P610">
            <v>0</v>
          </cell>
          <cell r="Q610">
            <v>0</v>
          </cell>
          <cell r="R610">
            <v>27820.32</v>
          </cell>
          <cell r="T610">
            <v>0</v>
          </cell>
          <cell r="U610">
            <v>27820.32</v>
          </cell>
          <cell r="V610">
            <v>13589.75</v>
          </cell>
        </row>
        <row r="611">
          <cell r="D611" t="str">
            <v>Gesso Projetado - 9º Pav. Tipo</v>
          </cell>
          <cell r="E611">
            <v>1478.91</v>
          </cell>
          <cell r="F611" t="str">
            <v>vb</v>
          </cell>
          <cell r="G611">
            <v>41410.07</v>
          </cell>
          <cell r="H611">
            <v>0</v>
          </cell>
          <cell r="I611" t="str">
            <v>01.013.002.011 - Gesso Projetado - 9º Pav. Tipo</v>
          </cell>
          <cell r="J611" t="str">
            <v>3 - CUSTOS DIRETOS</v>
          </cell>
          <cell r="K611" t="str">
            <v>3 - CUSTOS DIRETOS1.013.002.011</v>
          </cell>
          <cell r="L611">
            <v>41410.07</v>
          </cell>
          <cell r="N611">
            <v>39809.279999999999</v>
          </cell>
          <cell r="O611">
            <v>0</v>
          </cell>
          <cell r="P611">
            <v>0</v>
          </cell>
          <cell r="Q611">
            <v>0</v>
          </cell>
          <cell r="R611">
            <v>39809.279999999999</v>
          </cell>
          <cell r="T611">
            <v>0</v>
          </cell>
          <cell r="U611">
            <v>39809.279999999999</v>
          </cell>
          <cell r="V611">
            <v>1600.7900000000009</v>
          </cell>
        </row>
        <row r="612">
          <cell r="D612" t="str">
            <v>Gesso Projetado - 10º Pav. Tipo</v>
          </cell>
          <cell r="E612">
            <v>1478.91</v>
          </cell>
          <cell r="F612" t="str">
            <v>vb</v>
          </cell>
          <cell r="G612">
            <v>41410.07</v>
          </cell>
          <cell r="H612">
            <v>0</v>
          </cell>
          <cell r="I612" t="str">
            <v>01.013.002.012 - Gesso Projetado - 10º Pav. Tipo</v>
          </cell>
          <cell r="J612" t="str">
            <v>3 - CUSTOS DIRETOS</v>
          </cell>
          <cell r="K612" t="str">
            <v>3 - CUSTOS DIRETOS1.013.002.012</v>
          </cell>
          <cell r="L612">
            <v>41410.07</v>
          </cell>
          <cell r="N612">
            <v>38973.21</v>
          </cell>
          <cell r="O612">
            <v>0</v>
          </cell>
          <cell r="P612">
            <v>0</v>
          </cell>
          <cell r="Q612">
            <v>0</v>
          </cell>
          <cell r="R612">
            <v>38973.21</v>
          </cell>
          <cell r="T612">
            <v>0</v>
          </cell>
          <cell r="U612">
            <v>38973.21</v>
          </cell>
          <cell r="V612">
            <v>2436.8600000000006</v>
          </cell>
        </row>
        <row r="613">
          <cell r="D613" t="str">
            <v>Gesso Projetado - 11º Pav. Tipo</v>
          </cell>
          <cell r="E613">
            <v>1478.91</v>
          </cell>
          <cell r="F613" t="str">
            <v>vb</v>
          </cell>
          <cell r="G613">
            <v>41410.07</v>
          </cell>
          <cell r="H613">
            <v>0</v>
          </cell>
          <cell r="I613" t="str">
            <v>01.013.002.013 - Gesso Projetado - 11º Pav. Tipo</v>
          </cell>
          <cell r="J613" t="str">
            <v>3 - CUSTOS DIRETOS</v>
          </cell>
          <cell r="K613" t="str">
            <v>3 - CUSTOS DIRETOS1.013.002.013</v>
          </cell>
          <cell r="L613">
            <v>41410.07</v>
          </cell>
          <cell r="N613">
            <v>36649.840000000011</v>
          </cell>
          <cell r="O613">
            <v>0</v>
          </cell>
          <cell r="P613">
            <v>0</v>
          </cell>
          <cell r="Q613">
            <v>0</v>
          </cell>
          <cell r="R613">
            <v>36649.840000000011</v>
          </cell>
          <cell r="T613">
            <v>0</v>
          </cell>
          <cell r="U613">
            <v>36649.840000000011</v>
          </cell>
          <cell r="V613">
            <v>4760.2299999999886</v>
          </cell>
        </row>
        <row r="614">
          <cell r="D614" t="str">
            <v>Gesso Projetado - 12º Pav. Tipo</v>
          </cell>
          <cell r="E614">
            <v>1478.91</v>
          </cell>
          <cell r="F614" t="str">
            <v>vb</v>
          </cell>
          <cell r="G614">
            <v>41410.07</v>
          </cell>
          <cell r="H614">
            <v>0</v>
          </cell>
          <cell r="I614" t="str">
            <v>01.013.002.014 - Gesso Projetado - 12º Pav. Tipo</v>
          </cell>
          <cell r="J614" t="str">
            <v>3 - CUSTOS DIRETOS</v>
          </cell>
          <cell r="K614" t="str">
            <v>3 - CUSTOS DIRETOS1.013.002.014</v>
          </cell>
          <cell r="L614">
            <v>41410.07</v>
          </cell>
          <cell r="N614">
            <v>34634.730000000003</v>
          </cell>
          <cell r="O614">
            <v>0</v>
          </cell>
          <cell r="P614">
            <v>0</v>
          </cell>
          <cell r="Q614">
            <v>0</v>
          </cell>
          <cell r="R614">
            <v>34634.730000000003</v>
          </cell>
          <cell r="T614">
            <v>0</v>
          </cell>
          <cell r="U614">
            <v>34634.730000000003</v>
          </cell>
          <cell r="V614">
            <v>6775.3399999999965</v>
          </cell>
        </row>
        <row r="615">
          <cell r="D615" t="str">
            <v>Gesso Projetado - 13º Pav. Tipo</v>
          </cell>
          <cell r="E615">
            <v>1478.91</v>
          </cell>
          <cell r="F615" t="str">
            <v>vb</v>
          </cell>
          <cell r="G615">
            <v>41410.07</v>
          </cell>
          <cell r="H615">
            <v>0</v>
          </cell>
          <cell r="I615" t="str">
            <v>01.013.002.015 - Gesso Projetado - 13º Pav. Tipo</v>
          </cell>
          <cell r="J615" t="str">
            <v>3 - CUSTOS DIRETOS</v>
          </cell>
          <cell r="K615" t="str">
            <v>3 - CUSTOS DIRETOS1.013.002.015</v>
          </cell>
          <cell r="L615">
            <v>41410.07</v>
          </cell>
          <cell r="N615">
            <v>28100.519999999997</v>
          </cell>
          <cell r="O615">
            <v>0</v>
          </cell>
          <cell r="P615">
            <v>0</v>
          </cell>
          <cell r="Q615">
            <v>0</v>
          </cell>
          <cell r="R615">
            <v>28100.519999999997</v>
          </cell>
          <cell r="T615">
            <v>0</v>
          </cell>
          <cell r="U615">
            <v>28100.519999999997</v>
          </cell>
          <cell r="V615">
            <v>13309.550000000003</v>
          </cell>
        </row>
        <row r="616">
          <cell r="D616" t="str">
            <v>Gesso Projetado - 14º Pav. Tipo</v>
          </cell>
          <cell r="E616">
            <v>1478.91</v>
          </cell>
          <cell r="F616" t="str">
            <v>vb</v>
          </cell>
          <cell r="G616">
            <v>41410.07</v>
          </cell>
          <cell r="H616">
            <v>0</v>
          </cell>
          <cell r="I616" t="str">
            <v>01.013.002.016 - Gesso Projetado - 14º Pav. Tipo</v>
          </cell>
          <cell r="J616" t="str">
            <v>3 - CUSTOS DIRETOS</v>
          </cell>
          <cell r="K616" t="str">
            <v>3 - CUSTOS DIRETOS1.013.002.016</v>
          </cell>
          <cell r="L616">
            <v>41410.07</v>
          </cell>
          <cell r="N616">
            <v>25246.859999999997</v>
          </cell>
          <cell r="O616">
            <v>0</v>
          </cell>
          <cell r="P616">
            <v>0</v>
          </cell>
          <cell r="Q616">
            <v>0</v>
          </cell>
          <cell r="R616">
            <v>25246.859999999997</v>
          </cell>
          <cell r="T616">
            <v>0</v>
          </cell>
          <cell r="U616">
            <v>25246.859999999997</v>
          </cell>
          <cell r="V616">
            <v>16163.210000000003</v>
          </cell>
        </row>
        <row r="617">
          <cell r="D617" t="str">
            <v>Gesso Projetado - 15º Pav. Tipo</v>
          </cell>
          <cell r="E617">
            <v>1478.91</v>
          </cell>
          <cell r="F617" t="str">
            <v>vb</v>
          </cell>
          <cell r="G617">
            <v>41410.07</v>
          </cell>
          <cell r="H617">
            <v>0</v>
          </cell>
          <cell r="I617" t="str">
            <v>01.013.002.017 - Gesso Projetado - 15º Pav. Tipo</v>
          </cell>
          <cell r="J617" t="str">
            <v>3 - CUSTOS DIRETOS</v>
          </cell>
          <cell r="K617" t="str">
            <v>3 - CUSTOS DIRETOS1.013.002.017</v>
          </cell>
          <cell r="L617">
            <v>41410.07</v>
          </cell>
          <cell r="N617">
            <v>16153.4</v>
          </cell>
          <cell r="O617">
            <v>0</v>
          </cell>
          <cell r="P617">
            <v>0</v>
          </cell>
          <cell r="Q617">
            <v>0</v>
          </cell>
          <cell r="R617">
            <v>16153.4</v>
          </cell>
          <cell r="T617">
            <v>0</v>
          </cell>
          <cell r="U617">
            <v>16153.4</v>
          </cell>
          <cell r="V617">
            <v>25256.67</v>
          </cell>
        </row>
        <row r="618">
          <cell r="D618" t="str">
            <v>Gesso Projetado - Cobertura</v>
          </cell>
          <cell r="E618">
            <v>438</v>
          </cell>
          <cell r="F618" t="str">
            <v>vb</v>
          </cell>
          <cell r="G618">
            <v>12264.18</v>
          </cell>
          <cell r="H618">
            <v>0</v>
          </cell>
          <cell r="I618" t="str">
            <v>01.013.002.018 - Gesso Projetado - Cobertura</v>
          </cell>
          <cell r="J618" t="str">
            <v>3 - CUSTOS DIRETOS</v>
          </cell>
          <cell r="K618" t="str">
            <v>3 - CUSTOS DIRETOS1.013.002.018</v>
          </cell>
          <cell r="L618">
            <v>12264.18</v>
          </cell>
          <cell r="N618">
            <v>-1560.97</v>
          </cell>
          <cell r="O618">
            <v>0</v>
          </cell>
          <cell r="P618">
            <v>0</v>
          </cell>
          <cell r="Q618">
            <v>0</v>
          </cell>
          <cell r="R618">
            <v>-1560.97</v>
          </cell>
          <cell r="T618">
            <v>0</v>
          </cell>
          <cell r="U618">
            <v>-1560.97</v>
          </cell>
          <cell r="V618">
            <v>13825.15</v>
          </cell>
        </row>
        <row r="619">
          <cell r="D619" t="str">
            <v>REVESTIMENTO CERÂMICO - PAREDES</v>
          </cell>
          <cell r="I619" t="str">
            <v>01.014 - REVESTIMENTO CERÂMICO - PAREDES</v>
          </cell>
          <cell r="J619" t="str">
            <v>3 - CUSTOS DIRETOS</v>
          </cell>
          <cell r="K619" t="str">
            <v>3 - CUSTOS DIRETOS1.014</v>
          </cell>
          <cell r="L619">
            <v>718642.58999999973</v>
          </cell>
          <cell r="N619">
            <v>190653.74000000002</v>
          </cell>
          <cell r="O619">
            <v>0</v>
          </cell>
          <cell r="P619">
            <v>34073.61</v>
          </cell>
          <cell r="Q619">
            <v>0</v>
          </cell>
          <cell r="R619">
            <v>224727.35000000003</v>
          </cell>
          <cell r="T619">
            <v>165998.12</v>
          </cell>
          <cell r="U619">
            <v>390725.47000000003</v>
          </cell>
          <cell r="V619">
            <v>327917.1199999997</v>
          </cell>
        </row>
        <row r="620">
          <cell r="D620" t="str">
            <v>REVESTIMENTO DE PAREDE 30X60CM</v>
          </cell>
          <cell r="I620" t="str">
            <v>01.014.001 - REVESTIMENTO DE PAREDE 30X60CM</v>
          </cell>
          <cell r="J620" t="str">
            <v>3 - CUSTOS DIRETOS</v>
          </cell>
          <cell r="K620" t="str">
            <v>3 - CUSTOS DIRETOS1.014.001</v>
          </cell>
          <cell r="L620">
            <v>714676.40999999968</v>
          </cell>
          <cell r="N620">
            <v>190653.74000000002</v>
          </cell>
          <cell r="O620">
            <v>0</v>
          </cell>
          <cell r="P620">
            <v>34073.61</v>
          </cell>
          <cell r="Q620">
            <v>0</v>
          </cell>
          <cell r="R620">
            <v>224727.35000000003</v>
          </cell>
          <cell r="T620">
            <v>162031.94</v>
          </cell>
          <cell r="U620">
            <v>386759.29000000004</v>
          </cell>
          <cell r="V620">
            <v>327917.11999999965</v>
          </cell>
        </row>
        <row r="621">
          <cell r="D621" t="str">
            <v>Revestimento De Parede 30X60Cm - Subsolo</v>
          </cell>
          <cell r="E621">
            <v>0</v>
          </cell>
          <cell r="F621" t="str">
            <v>vb</v>
          </cell>
          <cell r="G621">
            <v>0</v>
          </cell>
          <cell r="H621">
            <v>0</v>
          </cell>
          <cell r="I621" t="str">
            <v>01.014.001.001 - Revestimento De Parede 30X60Cm - Subsolo</v>
          </cell>
          <cell r="J621" t="str">
            <v>3 - CUSTOS DIRETOS</v>
          </cell>
          <cell r="K621" t="str">
            <v>3 - CUSTOS DIRETOS1.014.001.001</v>
          </cell>
          <cell r="L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T621">
            <v>0</v>
          </cell>
          <cell r="U621">
            <v>0</v>
          </cell>
          <cell r="V621">
            <v>0</v>
          </cell>
        </row>
        <row r="622">
          <cell r="D622" t="str">
            <v>Revestimento De Parede 30X60Cm - Térreo</v>
          </cell>
          <cell r="E622">
            <v>181.95</v>
          </cell>
          <cell r="F622" t="str">
            <v>vb</v>
          </cell>
          <cell r="G622">
            <v>17254.54</v>
          </cell>
          <cell r="H622">
            <v>0</v>
          </cell>
          <cell r="I622" t="str">
            <v>01.014.001.002 - Revestimento De Parede 30X60Cm - Térreo</v>
          </cell>
          <cell r="J622" t="str">
            <v>3 - CUSTOS DIRETOS</v>
          </cell>
          <cell r="K622" t="str">
            <v>3 - CUSTOS DIRETOS1.014.001.002</v>
          </cell>
          <cell r="L622">
            <v>17254.54</v>
          </cell>
          <cell r="N622">
            <v>7206.7399999999989</v>
          </cell>
          <cell r="O622">
            <v>0</v>
          </cell>
          <cell r="P622">
            <v>0</v>
          </cell>
          <cell r="Q622">
            <v>0</v>
          </cell>
          <cell r="R622">
            <v>7206.7399999999989</v>
          </cell>
          <cell r="T622">
            <v>10047.800000000003</v>
          </cell>
          <cell r="U622">
            <v>17254.54</v>
          </cell>
          <cell r="V622">
            <v>0</v>
          </cell>
        </row>
        <row r="623">
          <cell r="D623" t="str">
            <v>Revestimento De Parede 30X60Cm - 1º Pav. Tipo</v>
          </cell>
          <cell r="E623">
            <v>461.09</v>
          </cell>
          <cell r="F623" t="str">
            <v>vb</v>
          </cell>
          <cell r="G623">
            <v>43725.72</v>
          </cell>
          <cell r="H623">
            <v>0</v>
          </cell>
          <cell r="I623" t="str">
            <v>01.014.001.003 - Revestimento De Parede 30X60Cm - 1º Pav. Tipo</v>
          </cell>
          <cell r="J623" t="str">
            <v>3 - CUSTOS DIRETOS</v>
          </cell>
          <cell r="K623" t="str">
            <v>3 - CUSTOS DIRETOS1.014.001.003</v>
          </cell>
          <cell r="L623">
            <v>43725.72</v>
          </cell>
          <cell r="N623">
            <v>16835.670000000002</v>
          </cell>
          <cell r="O623">
            <v>0</v>
          </cell>
          <cell r="P623">
            <v>0.8</v>
          </cell>
          <cell r="Q623">
            <v>0</v>
          </cell>
          <cell r="R623">
            <v>16836.47</v>
          </cell>
          <cell r="T623">
            <v>0</v>
          </cell>
          <cell r="U623">
            <v>16836.47</v>
          </cell>
          <cell r="V623">
            <v>26889.25</v>
          </cell>
        </row>
        <row r="624">
          <cell r="D624" t="str">
            <v>Revestimento De Parede 30X60Cm - 2º Pav. Tipo</v>
          </cell>
          <cell r="E624">
            <v>461.09</v>
          </cell>
          <cell r="F624" t="str">
            <v>vb</v>
          </cell>
          <cell r="G624">
            <v>43725.72</v>
          </cell>
          <cell r="H624">
            <v>0</v>
          </cell>
          <cell r="I624" t="str">
            <v>01.014.001.004 - Revestimento De Parede 30X60Cm - 2º Pav. Tipo</v>
          </cell>
          <cell r="J624" t="str">
            <v>3 - CUSTOS DIRETOS</v>
          </cell>
          <cell r="K624" t="str">
            <v>3 - CUSTOS DIRETOS1.014.001.004</v>
          </cell>
          <cell r="L624">
            <v>43725.72</v>
          </cell>
          <cell r="N624">
            <v>19263.849999999999</v>
          </cell>
          <cell r="O624">
            <v>0</v>
          </cell>
          <cell r="P624">
            <v>1165.6599999999999</v>
          </cell>
          <cell r="Q624">
            <v>0</v>
          </cell>
          <cell r="R624">
            <v>20429.509999999998</v>
          </cell>
          <cell r="T624">
            <v>0</v>
          </cell>
          <cell r="U624">
            <v>20429.509999999998</v>
          </cell>
          <cell r="V624">
            <v>23296.210000000003</v>
          </cell>
        </row>
        <row r="625">
          <cell r="D625" t="str">
            <v>Revestimento De Parede 30X60Cm - 3º Pav. Tipo</v>
          </cell>
          <cell r="E625">
            <v>461.09</v>
          </cell>
          <cell r="F625" t="str">
            <v>vb</v>
          </cell>
          <cell r="G625">
            <v>43725.72</v>
          </cell>
          <cell r="H625">
            <v>0</v>
          </cell>
          <cell r="I625" t="str">
            <v>01.014.001.005 - Revestimento De Parede 30X60Cm - 3º Pav. Tipo</v>
          </cell>
          <cell r="J625" t="str">
            <v>3 - CUSTOS DIRETOS</v>
          </cell>
          <cell r="K625" t="str">
            <v>3 - CUSTOS DIRETOS1.014.001.005</v>
          </cell>
          <cell r="L625">
            <v>43725.72</v>
          </cell>
          <cell r="N625">
            <v>12693.460000000001</v>
          </cell>
          <cell r="O625">
            <v>0</v>
          </cell>
          <cell r="P625">
            <v>535.65</v>
          </cell>
          <cell r="Q625">
            <v>0</v>
          </cell>
          <cell r="R625">
            <v>13229.11</v>
          </cell>
          <cell r="T625">
            <v>0</v>
          </cell>
          <cell r="U625">
            <v>13229.11</v>
          </cell>
          <cell r="V625">
            <v>30496.61</v>
          </cell>
        </row>
        <row r="626">
          <cell r="D626" t="str">
            <v>Revestimento De Parede 30X60Cm - 4º Pav. Tipo</v>
          </cell>
          <cell r="E626">
            <v>461.09</v>
          </cell>
          <cell r="F626" t="str">
            <v>vb</v>
          </cell>
          <cell r="G626">
            <v>43725.72</v>
          </cell>
          <cell r="H626">
            <v>0</v>
          </cell>
          <cell r="I626" t="str">
            <v>01.014.001.006 - Revestimento De Parede 30X60Cm - 4º Pav. Tipo</v>
          </cell>
          <cell r="J626" t="str">
            <v>3 - CUSTOS DIRETOS</v>
          </cell>
          <cell r="K626" t="str">
            <v>3 - CUSTOS DIRETOS1.014.001.006</v>
          </cell>
          <cell r="L626">
            <v>43725.72</v>
          </cell>
          <cell r="N626">
            <v>11326.93</v>
          </cell>
          <cell r="O626">
            <v>0</v>
          </cell>
          <cell r="P626">
            <v>1902.18</v>
          </cell>
          <cell r="Q626">
            <v>0</v>
          </cell>
          <cell r="R626">
            <v>13229.11</v>
          </cell>
          <cell r="T626">
            <v>0</v>
          </cell>
          <cell r="U626">
            <v>13229.11</v>
          </cell>
          <cell r="V626">
            <v>30496.61</v>
          </cell>
        </row>
        <row r="627">
          <cell r="D627" t="str">
            <v>Revestimento De Parede 30X60Cm - 5º Pav. Tipo</v>
          </cell>
          <cell r="E627">
            <v>461.09</v>
          </cell>
          <cell r="F627" t="str">
            <v>vb</v>
          </cell>
          <cell r="G627">
            <v>43725.72</v>
          </cell>
          <cell r="H627">
            <v>0</v>
          </cell>
          <cell r="I627" t="str">
            <v>01.014.001.007 - Revestimento De Parede 30X60Cm - 5º Pav. Tipo</v>
          </cell>
          <cell r="J627" t="str">
            <v>3 - CUSTOS DIRETOS</v>
          </cell>
          <cell r="K627" t="str">
            <v>3 - CUSTOS DIRETOS1.014.001.007</v>
          </cell>
          <cell r="L627">
            <v>43725.72</v>
          </cell>
          <cell r="N627">
            <v>12613.489999999998</v>
          </cell>
          <cell r="O627">
            <v>0</v>
          </cell>
          <cell r="P627">
            <v>596.89</v>
          </cell>
          <cell r="Q627">
            <v>0</v>
          </cell>
          <cell r="R627">
            <v>13210.379999999997</v>
          </cell>
          <cell r="T627">
            <v>0</v>
          </cell>
          <cell r="U627">
            <v>13210.379999999997</v>
          </cell>
          <cell r="V627">
            <v>30515.340000000004</v>
          </cell>
        </row>
        <row r="628">
          <cell r="D628" t="str">
            <v>Revestimento De Parede 30X60Cm - 6º Pav. Tipo</v>
          </cell>
          <cell r="E628">
            <v>461.09</v>
          </cell>
          <cell r="F628" t="str">
            <v>vb</v>
          </cell>
          <cell r="G628">
            <v>43725.72</v>
          </cell>
          <cell r="H628">
            <v>0</v>
          </cell>
          <cell r="I628" t="str">
            <v>01.014.001.008 - Revestimento De Parede 30X60Cm - 6º Pav. Tipo</v>
          </cell>
          <cell r="J628" t="str">
            <v>3 - CUSTOS DIRETOS</v>
          </cell>
          <cell r="K628" t="str">
            <v>3 - CUSTOS DIRETOS1.014.001.008</v>
          </cell>
          <cell r="L628">
            <v>43725.72</v>
          </cell>
          <cell r="N628">
            <v>13477.29</v>
          </cell>
          <cell r="O628">
            <v>0</v>
          </cell>
          <cell r="P628">
            <v>596.89</v>
          </cell>
          <cell r="Q628">
            <v>0</v>
          </cell>
          <cell r="R628">
            <v>14074.18</v>
          </cell>
          <cell r="T628">
            <v>0</v>
          </cell>
          <cell r="U628">
            <v>14074.18</v>
          </cell>
          <cell r="V628">
            <v>29651.54</v>
          </cell>
        </row>
        <row r="629">
          <cell r="D629" t="str">
            <v>Revestimento De Parede 30X60Cm - 7º Pav. Tipo</v>
          </cell>
          <cell r="E629">
            <v>461.09</v>
          </cell>
          <cell r="F629" t="str">
            <v>vb</v>
          </cell>
          <cell r="G629">
            <v>43725.72</v>
          </cell>
          <cell r="H629">
            <v>0</v>
          </cell>
          <cell r="I629" t="str">
            <v>01.014.001.009 - Revestimento De Parede 30X60Cm - 7º Pav. Tipo</v>
          </cell>
          <cell r="J629" t="str">
            <v>3 - CUSTOS DIRETOS</v>
          </cell>
          <cell r="K629" t="str">
            <v>3 - CUSTOS DIRETOS1.014.001.009</v>
          </cell>
          <cell r="L629">
            <v>43725.72</v>
          </cell>
          <cell r="N629">
            <v>11866.1</v>
          </cell>
          <cell r="O629">
            <v>0</v>
          </cell>
          <cell r="P629">
            <v>596.89</v>
          </cell>
          <cell r="Q629">
            <v>0</v>
          </cell>
          <cell r="R629">
            <v>12462.99</v>
          </cell>
          <cell r="T629">
            <v>0</v>
          </cell>
          <cell r="U629">
            <v>12462.99</v>
          </cell>
          <cell r="V629">
            <v>31262.730000000003</v>
          </cell>
        </row>
        <row r="630">
          <cell r="D630" t="str">
            <v>Revestimento De Parede 30X60Cm - 8º Pav. Tipo</v>
          </cell>
          <cell r="E630">
            <v>461.09</v>
          </cell>
          <cell r="F630" t="str">
            <v>vb</v>
          </cell>
          <cell r="G630">
            <v>43725.72</v>
          </cell>
          <cell r="H630">
            <v>0</v>
          </cell>
          <cell r="I630" t="str">
            <v>01.014.001.010 - Revestimento De Parede 30X60Cm - 8º Pav. Tipo</v>
          </cell>
          <cell r="J630" t="str">
            <v>3 - CUSTOS DIRETOS</v>
          </cell>
          <cell r="K630" t="str">
            <v>3 - CUSTOS DIRETOS1.014.001.010</v>
          </cell>
          <cell r="L630">
            <v>43725.72</v>
          </cell>
          <cell r="N630">
            <v>11124.1</v>
          </cell>
          <cell r="O630">
            <v>0</v>
          </cell>
          <cell r="P630">
            <v>1338.89</v>
          </cell>
          <cell r="Q630">
            <v>0</v>
          </cell>
          <cell r="R630">
            <v>12462.99</v>
          </cell>
          <cell r="T630">
            <v>0</v>
          </cell>
          <cell r="U630">
            <v>12462.99</v>
          </cell>
          <cell r="V630">
            <v>31262.730000000003</v>
          </cell>
        </row>
        <row r="631">
          <cell r="D631" t="str">
            <v>Revestimento De Parede 30X60Cm - 9º Pav. Tipo</v>
          </cell>
          <cell r="E631">
            <v>461.09</v>
          </cell>
          <cell r="F631" t="str">
            <v>vb</v>
          </cell>
          <cell r="G631">
            <v>43725.72</v>
          </cell>
          <cell r="H631">
            <v>0</v>
          </cell>
          <cell r="I631" t="str">
            <v>01.014.001.011 - Revestimento De Parede 30X60Cm - 9º Pav. Tipo</v>
          </cell>
          <cell r="J631" t="str">
            <v>3 - CUSTOS DIRETOS</v>
          </cell>
          <cell r="K631" t="str">
            <v>3 - CUSTOS DIRETOS1.014.001.011</v>
          </cell>
          <cell r="L631">
            <v>43725.72</v>
          </cell>
          <cell r="N631">
            <v>11356.1</v>
          </cell>
          <cell r="O631">
            <v>0</v>
          </cell>
          <cell r="P631">
            <v>1106.8899999999999</v>
          </cell>
          <cell r="Q631">
            <v>0</v>
          </cell>
          <cell r="R631">
            <v>12462.99</v>
          </cell>
          <cell r="T631">
            <v>0</v>
          </cell>
          <cell r="U631">
            <v>12462.99</v>
          </cell>
          <cell r="V631">
            <v>31262.730000000003</v>
          </cell>
        </row>
        <row r="632">
          <cell r="D632" t="str">
            <v>Revestimento De Parede 30X60Cm - 10º Pav. Tipo</v>
          </cell>
          <cell r="E632">
            <v>461.09</v>
          </cell>
          <cell r="F632" t="str">
            <v>vb</v>
          </cell>
          <cell r="G632">
            <v>43725.72</v>
          </cell>
          <cell r="H632">
            <v>0</v>
          </cell>
          <cell r="I632" t="str">
            <v>01.014.001.012 - Revestimento De Parede 30X60Cm - 10º Pav. Tipo</v>
          </cell>
          <cell r="J632" t="str">
            <v>3 - CUSTOS DIRETOS</v>
          </cell>
          <cell r="K632" t="str">
            <v>3 - CUSTOS DIRETOS1.014.001.012</v>
          </cell>
          <cell r="L632">
            <v>43725.72</v>
          </cell>
          <cell r="N632">
            <v>10812.070000000002</v>
          </cell>
          <cell r="O632">
            <v>0</v>
          </cell>
          <cell r="P632">
            <v>1124.8900000000001</v>
          </cell>
          <cell r="Q632">
            <v>0</v>
          </cell>
          <cell r="R632">
            <v>11936.960000000001</v>
          </cell>
          <cell r="T632">
            <v>0</v>
          </cell>
          <cell r="U632">
            <v>11936.960000000001</v>
          </cell>
          <cell r="V632">
            <v>31788.760000000002</v>
          </cell>
        </row>
        <row r="633">
          <cell r="D633" t="str">
            <v>Revestimento De Parede 30X60Cm - 11º Pav. Tipo</v>
          </cell>
          <cell r="E633">
            <v>461.09</v>
          </cell>
          <cell r="F633" t="str">
            <v>vb</v>
          </cell>
          <cell r="G633">
            <v>43725.72</v>
          </cell>
          <cell r="H633">
            <v>0</v>
          </cell>
          <cell r="I633" t="str">
            <v>01.014.001.013 - Revestimento De Parede 30X60Cm - 11º Pav. Tipo</v>
          </cell>
          <cell r="J633" t="str">
            <v>3 - CUSTOS DIRETOS</v>
          </cell>
          <cell r="K633" t="str">
            <v>3 - CUSTOS DIRETOS1.014.001.013</v>
          </cell>
          <cell r="L633">
            <v>43725.72</v>
          </cell>
          <cell r="N633">
            <v>11519.220000000001</v>
          </cell>
          <cell r="O633">
            <v>0</v>
          </cell>
          <cell r="P633">
            <v>1211.8899999999999</v>
          </cell>
          <cell r="Q633">
            <v>0</v>
          </cell>
          <cell r="R633">
            <v>12731.11</v>
          </cell>
          <cell r="T633">
            <v>0</v>
          </cell>
          <cell r="U633">
            <v>12731.11</v>
          </cell>
          <cell r="V633">
            <v>30994.61</v>
          </cell>
        </row>
        <row r="634">
          <cell r="D634" t="str">
            <v>Revestimento De Parede 30X60Cm - 12º Pav. Tipo</v>
          </cell>
          <cell r="E634">
            <v>461.09</v>
          </cell>
          <cell r="F634" t="str">
            <v>vb</v>
          </cell>
          <cell r="G634">
            <v>43725.72</v>
          </cell>
          <cell r="H634">
            <v>0</v>
          </cell>
          <cell r="I634" t="str">
            <v>01.014.001.014 - Revestimento De Parede 30X60Cm - 12º Pav. Tipo</v>
          </cell>
          <cell r="J634" t="str">
            <v>3 - CUSTOS DIRETOS</v>
          </cell>
          <cell r="K634" t="str">
            <v>3 - CUSTOS DIRETOS1.014.001.014</v>
          </cell>
          <cell r="L634">
            <v>43725.72</v>
          </cell>
          <cell r="N634">
            <v>11414.220000000001</v>
          </cell>
          <cell r="O634">
            <v>0</v>
          </cell>
          <cell r="P634">
            <v>1316.89</v>
          </cell>
          <cell r="Q634">
            <v>0</v>
          </cell>
          <cell r="R634">
            <v>12731.11</v>
          </cell>
          <cell r="T634">
            <v>30994.61</v>
          </cell>
          <cell r="U634">
            <v>43725.72</v>
          </cell>
          <cell r="V634">
            <v>0</v>
          </cell>
        </row>
        <row r="635">
          <cell r="D635" t="str">
            <v>Revestimento De Parede 30X60Cm - 13º Pav. Tipo</v>
          </cell>
          <cell r="E635">
            <v>461.09</v>
          </cell>
          <cell r="F635" t="str">
            <v>vb</v>
          </cell>
          <cell r="G635">
            <v>43725.72</v>
          </cell>
          <cell r="H635">
            <v>0</v>
          </cell>
          <cell r="I635" t="str">
            <v>01.014.001.015 - Revestimento De Parede 30X60Cm - 13º Pav. Tipo</v>
          </cell>
          <cell r="J635" t="str">
            <v>3 - CUSTOS DIRETOS</v>
          </cell>
          <cell r="K635" t="str">
            <v>3 - CUSTOS DIRETOS1.014.001.015</v>
          </cell>
          <cell r="L635">
            <v>43725.72</v>
          </cell>
          <cell r="N635">
            <v>8801.3100000000013</v>
          </cell>
          <cell r="O635">
            <v>0</v>
          </cell>
          <cell r="P635">
            <v>5644.8</v>
          </cell>
          <cell r="Q635">
            <v>0</v>
          </cell>
          <cell r="R635">
            <v>14446.11</v>
          </cell>
          <cell r="T635">
            <v>29279.61</v>
          </cell>
          <cell r="U635">
            <v>43725.72</v>
          </cell>
          <cell r="V635">
            <v>0</v>
          </cell>
        </row>
        <row r="636">
          <cell r="D636" t="str">
            <v>Revestimento De Parede 30X60Cm - 14º Pav. Tipo</v>
          </cell>
          <cell r="E636">
            <v>461.09</v>
          </cell>
          <cell r="F636" t="str">
            <v>vb</v>
          </cell>
          <cell r="G636">
            <v>43725.72</v>
          </cell>
          <cell r="H636">
            <v>0</v>
          </cell>
          <cell r="I636" t="str">
            <v>01.014.001.016 - Revestimento De Parede 30X60Cm - 14º Pav. Tipo</v>
          </cell>
          <cell r="J636" t="str">
            <v>3 - CUSTOS DIRETOS</v>
          </cell>
          <cell r="K636" t="str">
            <v>3 - CUSTOS DIRETOS1.014.001.016</v>
          </cell>
          <cell r="L636">
            <v>43725.72</v>
          </cell>
          <cell r="N636">
            <v>8801.3100000000013</v>
          </cell>
          <cell r="O636">
            <v>0</v>
          </cell>
          <cell r="P636">
            <v>5644.8</v>
          </cell>
          <cell r="Q636">
            <v>0</v>
          </cell>
          <cell r="R636">
            <v>14446.11</v>
          </cell>
          <cell r="T636">
            <v>29279.61</v>
          </cell>
          <cell r="U636">
            <v>43725.72</v>
          </cell>
          <cell r="V636">
            <v>0</v>
          </cell>
        </row>
        <row r="637">
          <cell r="D637" t="str">
            <v>Revestimento De Parede 30X60Cm - 15º Pav. Tipo</v>
          </cell>
          <cell r="E637">
            <v>461.09</v>
          </cell>
          <cell r="F637" t="str">
            <v>vb</v>
          </cell>
          <cell r="G637">
            <v>43725.72</v>
          </cell>
          <cell r="H637">
            <v>0</v>
          </cell>
          <cell r="I637" t="str">
            <v>01.014.001.017 - Revestimento De Parede 30X60Cm - 15º Pav. Tipo</v>
          </cell>
          <cell r="J637" t="str">
            <v>3 - CUSTOS DIRETOS</v>
          </cell>
          <cell r="K637" t="str">
            <v>3 - CUSTOS DIRETOS1.014.001.017</v>
          </cell>
          <cell r="L637">
            <v>43725.72</v>
          </cell>
          <cell r="N637">
            <v>8801.32</v>
          </cell>
          <cell r="O637">
            <v>0</v>
          </cell>
          <cell r="P637">
            <v>5644.8</v>
          </cell>
          <cell r="Q637">
            <v>0</v>
          </cell>
          <cell r="R637">
            <v>14446.119999999999</v>
          </cell>
          <cell r="T637">
            <v>29279.600000000002</v>
          </cell>
          <cell r="U637">
            <v>43725.72</v>
          </cell>
          <cell r="V637">
            <v>0</v>
          </cell>
        </row>
        <row r="638">
          <cell r="D638" t="str">
            <v>Revestimento De Parede 30X60Cm - Cobertura</v>
          </cell>
          <cell r="E638">
            <v>438</v>
          </cell>
          <cell r="F638" t="str">
            <v>vb</v>
          </cell>
          <cell r="G638">
            <v>41536.07</v>
          </cell>
          <cell r="H638">
            <v>0</v>
          </cell>
          <cell r="I638" t="str">
            <v>01.014.001.018 - Revestimento De Parede 30X60Cm - Cobertura</v>
          </cell>
          <cell r="J638" t="str">
            <v>3 - CUSTOS DIRETOS</v>
          </cell>
          <cell r="K638" t="str">
            <v>3 - CUSTOS DIRETOS1.014.001.018</v>
          </cell>
          <cell r="L638">
            <v>41536.07</v>
          </cell>
          <cell r="N638">
            <v>2740.56</v>
          </cell>
          <cell r="O638">
            <v>0</v>
          </cell>
          <cell r="P638">
            <v>5644.8</v>
          </cell>
          <cell r="Q638">
            <v>0</v>
          </cell>
          <cell r="R638">
            <v>8385.36</v>
          </cell>
          <cell r="T638">
            <v>33150.71</v>
          </cell>
          <cell r="U638">
            <v>41536.07</v>
          </cell>
          <cell r="V638">
            <v>0</v>
          </cell>
        </row>
        <row r="639">
          <cell r="D639" t="str">
            <v>REVESTIMENTOS DIVERSOS</v>
          </cell>
          <cell r="I639" t="str">
            <v>01.014.002 - REVESTIMENTOS DIVERSOS</v>
          </cell>
          <cell r="J639" t="str">
            <v>3 - CUSTOS DIRETOS</v>
          </cell>
          <cell r="K639" t="str">
            <v>3 - CUSTOS DIRETOS1.014.002</v>
          </cell>
          <cell r="L639">
            <v>3966.18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T639">
            <v>3966.18</v>
          </cell>
          <cell r="U639">
            <v>3966.18</v>
          </cell>
          <cell r="V639">
            <v>0</v>
          </cell>
        </row>
        <row r="640">
          <cell r="D640" t="str">
            <v>Revestimento De Piscina</v>
          </cell>
          <cell r="E640">
            <v>24.27</v>
          </cell>
          <cell r="F640" t="str">
            <v>vb</v>
          </cell>
          <cell r="G640">
            <v>3966.18</v>
          </cell>
          <cell r="H640">
            <v>0</v>
          </cell>
          <cell r="I640" t="str">
            <v>01.014.002.001 - Revestimento De Piscina</v>
          </cell>
          <cell r="J640" t="str">
            <v>3 - CUSTOS DIRETOS</v>
          </cell>
          <cell r="K640" t="str">
            <v>3 - CUSTOS DIRETOS1.014.002.001</v>
          </cell>
          <cell r="L640">
            <v>3966.18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T640">
            <v>3966.18</v>
          </cell>
          <cell r="U640">
            <v>3966.18</v>
          </cell>
          <cell r="V640">
            <v>0</v>
          </cell>
        </row>
        <row r="641">
          <cell r="D641" t="str">
            <v>FORROS</v>
          </cell>
          <cell r="I641" t="str">
            <v>01.015 - FORROS</v>
          </cell>
          <cell r="J641" t="str">
            <v>3 - CUSTOS DIRETOS</v>
          </cell>
          <cell r="K641" t="str">
            <v>3 - CUSTOS DIRETOS1.015</v>
          </cell>
          <cell r="L641">
            <v>457093.31999999995</v>
          </cell>
          <cell r="N641">
            <v>322514.71000000008</v>
          </cell>
          <cell r="O641">
            <v>3121.4399999999991</v>
          </cell>
          <cell r="P641">
            <v>33174.26</v>
          </cell>
          <cell r="Q641">
            <v>3317.4</v>
          </cell>
          <cell r="R641">
            <v>362127.81000000011</v>
          </cell>
          <cell r="T641">
            <v>49305.16</v>
          </cell>
          <cell r="U641">
            <v>411432.97000000009</v>
          </cell>
          <cell r="V641">
            <v>45660.34999999986</v>
          </cell>
        </row>
        <row r="642">
          <cell r="D642" t="str">
            <v>FORRO DE GESSO</v>
          </cell>
          <cell r="I642" t="str">
            <v>01.015.001 - FORRO DE GESSO</v>
          </cell>
          <cell r="J642" t="str">
            <v>3 - CUSTOS DIRETOS</v>
          </cell>
          <cell r="K642" t="str">
            <v>3 - CUSTOS DIRETOS1.015.001</v>
          </cell>
          <cell r="L642">
            <v>87122.2</v>
          </cell>
          <cell r="N642">
            <v>74739.899999999994</v>
          </cell>
          <cell r="O642">
            <v>0</v>
          </cell>
          <cell r="P642">
            <v>1875</v>
          </cell>
          <cell r="Q642">
            <v>0</v>
          </cell>
          <cell r="R642">
            <v>76614.899999999994</v>
          </cell>
          <cell r="T642">
            <v>11717.2</v>
          </cell>
          <cell r="U642">
            <v>88332.099999999991</v>
          </cell>
          <cell r="V642">
            <v>-1209.8999999999942</v>
          </cell>
        </row>
        <row r="643">
          <cell r="D643" t="str">
            <v>Forro De Gesso - Subsolo</v>
          </cell>
          <cell r="E643">
            <v>0</v>
          </cell>
          <cell r="F643" t="str">
            <v>vb</v>
          </cell>
          <cell r="G643">
            <v>0</v>
          </cell>
          <cell r="H643">
            <v>0</v>
          </cell>
          <cell r="I643" t="str">
            <v>01.015.001.001 - Forro De Gesso - Subsolo</v>
          </cell>
          <cell r="J643" t="str">
            <v>3 - CUSTOS DIRETOS</v>
          </cell>
          <cell r="K643" t="str">
            <v>3 - CUSTOS DIRETOS1.015.001.001</v>
          </cell>
          <cell r="L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T643">
            <v>0</v>
          </cell>
          <cell r="U643">
            <v>0</v>
          </cell>
          <cell r="V643">
            <v>0</v>
          </cell>
        </row>
        <row r="644">
          <cell r="D644" t="str">
            <v>Forro De Gesso - Térreo</v>
          </cell>
          <cell r="E644">
            <v>266.3</v>
          </cell>
          <cell r="F644" t="str">
            <v>vb</v>
          </cell>
          <cell r="G644">
            <v>11717.2</v>
          </cell>
          <cell r="H644">
            <v>0</v>
          </cell>
          <cell r="I644" t="str">
            <v>01.015.001.002 - Forro De Gesso - Térreo</v>
          </cell>
          <cell r="J644" t="str">
            <v>3 - CUSTOS DIRETOS</v>
          </cell>
          <cell r="K644" t="str">
            <v>3 - CUSTOS DIRETOS1.015.001.002</v>
          </cell>
          <cell r="L644">
            <v>11717.2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T644">
            <v>11717.2</v>
          </cell>
          <cell r="U644">
            <v>11717.2</v>
          </cell>
          <cell r="V644">
            <v>0</v>
          </cell>
        </row>
        <row r="645">
          <cell r="D645" t="str">
            <v>Forro De Gesso - 1º Pav. Tipo</v>
          </cell>
          <cell r="E645">
            <v>114.25</v>
          </cell>
          <cell r="F645" t="str">
            <v>vb</v>
          </cell>
          <cell r="G645">
            <v>5027</v>
          </cell>
          <cell r="H645">
            <v>0</v>
          </cell>
          <cell r="I645" t="str">
            <v>01.015.001.003 - Forro De Gesso - 1º Pav. Tipo</v>
          </cell>
          <cell r="J645" t="str">
            <v>3 - CUSTOS DIRETOS</v>
          </cell>
          <cell r="K645" t="str">
            <v>3 - CUSTOS DIRETOS1.015.001.003</v>
          </cell>
          <cell r="L645">
            <v>5027</v>
          </cell>
          <cell r="N645">
            <v>4099.1000000000004</v>
          </cell>
          <cell r="O645">
            <v>0</v>
          </cell>
          <cell r="P645">
            <v>0</v>
          </cell>
          <cell r="Q645">
            <v>0</v>
          </cell>
          <cell r="R645">
            <v>4099.1000000000004</v>
          </cell>
          <cell r="T645">
            <v>0</v>
          </cell>
          <cell r="U645">
            <v>4099.1000000000004</v>
          </cell>
          <cell r="V645">
            <v>927.89999999999964</v>
          </cell>
        </row>
        <row r="646">
          <cell r="D646" t="str">
            <v>Forro De Gesso - 2º Pav. Tipo</v>
          </cell>
          <cell r="E646">
            <v>114.25</v>
          </cell>
          <cell r="F646" t="str">
            <v>vb</v>
          </cell>
          <cell r="G646">
            <v>5027</v>
          </cell>
          <cell r="H646">
            <v>0</v>
          </cell>
          <cell r="I646" t="str">
            <v>01.015.001.004 - Forro De Gesso - 2º Pav. Tipo</v>
          </cell>
          <cell r="J646" t="str">
            <v>3 - CUSTOS DIRETOS</v>
          </cell>
          <cell r="K646" t="str">
            <v>3 - CUSTOS DIRETOS1.015.001.004</v>
          </cell>
          <cell r="L646">
            <v>5027</v>
          </cell>
          <cell r="N646">
            <v>4031.2</v>
          </cell>
          <cell r="O646">
            <v>0</v>
          </cell>
          <cell r="P646">
            <v>0</v>
          </cell>
          <cell r="Q646">
            <v>0</v>
          </cell>
          <cell r="R646">
            <v>4031.2</v>
          </cell>
          <cell r="T646">
            <v>0</v>
          </cell>
          <cell r="U646">
            <v>4031.2</v>
          </cell>
          <cell r="V646">
            <v>995.80000000000018</v>
          </cell>
        </row>
        <row r="647">
          <cell r="D647" t="str">
            <v>Forro De Gesso - 3º Pav. Tipo</v>
          </cell>
          <cell r="E647">
            <v>114.25</v>
          </cell>
          <cell r="F647" t="str">
            <v>vb</v>
          </cell>
          <cell r="G647">
            <v>5027</v>
          </cell>
          <cell r="H647">
            <v>0</v>
          </cell>
          <cell r="I647" t="str">
            <v>01.015.001.005 - Forro De Gesso - 3º Pav. Tipo</v>
          </cell>
          <cell r="J647" t="str">
            <v>3 - CUSTOS DIRETOS</v>
          </cell>
          <cell r="K647" t="str">
            <v>3 - CUSTOS DIRETOS1.015.001.005</v>
          </cell>
          <cell r="L647">
            <v>5027</v>
          </cell>
          <cell r="N647">
            <v>4031.2</v>
          </cell>
          <cell r="O647">
            <v>0</v>
          </cell>
          <cell r="P647">
            <v>0</v>
          </cell>
          <cell r="Q647">
            <v>0</v>
          </cell>
          <cell r="R647">
            <v>4031.2</v>
          </cell>
          <cell r="T647">
            <v>0</v>
          </cell>
          <cell r="U647">
            <v>4031.2</v>
          </cell>
          <cell r="V647">
            <v>995.80000000000018</v>
          </cell>
        </row>
        <row r="648">
          <cell r="D648" t="str">
            <v>Forro De Gesso - 4º Pav. Tipo</v>
          </cell>
          <cell r="E648">
            <v>114.25</v>
          </cell>
          <cell r="F648" t="str">
            <v>vb</v>
          </cell>
          <cell r="G648">
            <v>5027</v>
          </cell>
          <cell r="H648">
            <v>0</v>
          </cell>
          <cell r="I648" t="str">
            <v>01.015.001.006 - Forro De Gesso - 4º Pav. Tipo</v>
          </cell>
          <cell r="J648" t="str">
            <v>3 - CUSTOS DIRETOS</v>
          </cell>
          <cell r="K648" t="str">
            <v>3 - CUSTOS DIRETOS1.015.001.006</v>
          </cell>
          <cell r="L648">
            <v>5027</v>
          </cell>
          <cell r="N648">
            <v>4031.2</v>
          </cell>
          <cell r="O648">
            <v>0</v>
          </cell>
          <cell r="P648">
            <v>0</v>
          </cell>
          <cell r="Q648">
            <v>0</v>
          </cell>
          <cell r="R648">
            <v>4031.2</v>
          </cell>
          <cell r="T648">
            <v>0</v>
          </cell>
          <cell r="U648">
            <v>4031.2</v>
          </cell>
          <cell r="V648">
            <v>995.80000000000018</v>
          </cell>
        </row>
        <row r="649">
          <cell r="D649" t="str">
            <v>Forro De Gesso - 5º Pav. Tipo</v>
          </cell>
          <cell r="E649">
            <v>114.25</v>
          </cell>
          <cell r="F649" t="str">
            <v>vb</v>
          </cell>
          <cell r="G649">
            <v>5027</v>
          </cell>
          <cell r="H649">
            <v>0</v>
          </cell>
          <cell r="I649" t="str">
            <v>01.015.001.007 - Forro De Gesso - 5º Pav. Tipo</v>
          </cell>
          <cell r="J649" t="str">
            <v>3 - CUSTOS DIRETOS</v>
          </cell>
          <cell r="K649" t="str">
            <v>3 - CUSTOS DIRETOS1.015.001.007</v>
          </cell>
          <cell r="L649">
            <v>5027</v>
          </cell>
          <cell r="N649">
            <v>4031.2</v>
          </cell>
          <cell r="O649">
            <v>0</v>
          </cell>
          <cell r="P649">
            <v>0</v>
          </cell>
          <cell r="Q649">
            <v>0</v>
          </cell>
          <cell r="R649">
            <v>4031.2</v>
          </cell>
          <cell r="T649">
            <v>0</v>
          </cell>
          <cell r="U649">
            <v>4031.2</v>
          </cell>
          <cell r="V649">
            <v>995.80000000000018</v>
          </cell>
        </row>
        <row r="650">
          <cell r="D650" t="str">
            <v>Forro De Gesso - 6º Pav. Tipo</v>
          </cell>
          <cell r="E650">
            <v>114.25</v>
          </cell>
          <cell r="F650" t="str">
            <v>vb</v>
          </cell>
          <cell r="G650">
            <v>5027</v>
          </cell>
          <cell r="H650">
            <v>0</v>
          </cell>
          <cell r="I650" t="str">
            <v>01.015.001.008 - Forro De Gesso - 6º Pav. Tipo</v>
          </cell>
          <cell r="J650" t="str">
            <v>3 - CUSTOS DIRETOS</v>
          </cell>
          <cell r="K650" t="str">
            <v>3 - CUSTOS DIRETOS1.015.001.008</v>
          </cell>
          <cell r="L650">
            <v>5027</v>
          </cell>
          <cell r="N650">
            <v>3138</v>
          </cell>
          <cell r="O650">
            <v>0</v>
          </cell>
          <cell r="P650">
            <v>0</v>
          </cell>
          <cell r="Q650">
            <v>0</v>
          </cell>
          <cell r="R650">
            <v>3138</v>
          </cell>
          <cell r="T650">
            <v>0</v>
          </cell>
          <cell r="U650">
            <v>3138</v>
          </cell>
          <cell r="V650">
            <v>1889</v>
          </cell>
        </row>
        <row r="651">
          <cell r="D651" t="str">
            <v>Forro De Gesso - 7º Pav. Tipo</v>
          </cell>
          <cell r="E651">
            <v>114.25</v>
          </cell>
          <cell r="F651" t="str">
            <v>vb</v>
          </cell>
          <cell r="G651">
            <v>5027</v>
          </cell>
          <cell r="H651">
            <v>0</v>
          </cell>
          <cell r="I651" t="str">
            <v>01.015.001.009 - Forro De Gesso - 7º Pav. Tipo</v>
          </cell>
          <cell r="J651" t="str">
            <v>3 - CUSTOS DIRETOS</v>
          </cell>
          <cell r="K651" t="str">
            <v>3 - CUSTOS DIRETOS1.015.001.009</v>
          </cell>
          <cell r="L651">
            <v>5027</v>
          </cell>
          <cell r="N651">
            <v>3138</v>
          </cell>
          <cell r="O651">
            <v>0</v>
          </cell>
          <cell r="P651">
            <v>0</v>
          </cell>
          <cell r="Q651">
            <v>0</v>
          </cell>
          <cell r="R651">
            <v>3138</v>
          </cell>
          <cell r="T651">
            <v>0</v>
          </cell>
          <cell r="U651">
            <v>3138</v>
          </cell>
          <cell r="V651">
            <v>1889</v>
          </cell>
        </row>
        <row r="652">
          <cell r="D652" t="str">
            <v>Forro De Gesso - 8º Pav. Tipo</v>
          </cell>
          <cell r="E652">
            <v>114.25</v>
          </cell>
          <cell r="F652" t="str">
            <v>vb</v>
          </cell>
          <cell r="G652">
            <v>5027</v>
          </cell>
          <cell r="H652">
            <v>0</v>
          </cell>
          <cell r="I652" t="str">
            <v>01.015.001.010 - Forro De Gesso - 8º Pav. Tipo</v>
          </cell>
          <cell r="J652" t="str">
            <v>3 - CUSTOS DIRETOS</v>
          </cell>
          <cell r="K652" t="str">
            <v>3 - CUSTOS DIRETOS1.015.001.010</v>
          </cell>
          <cell r="L652">
            <v>5027</v>
          </cell>
          <cell r="N652">
            <v>2870</v>
          </cell>
          <cell r="O652">
            <v>0</v>
          </cell>
          <cell r="P652">
            <v>274.82</v>
          </cell>
          <cell r="Q652">
            <v>0</v>
          </cell>
          <cell r="R652">
            <v>3144.82</v>
          </cell>
          <cell r="T652">
            <v>0</v>
          </cell>
          <cell r="U652">
            <v>3144.82</v>
          </cell>
          <cell r="V652">
            <v>1882.1799999999998</v>
          </cell>
        </row>
        <row r="653">
          <cell r="D653" t="str">
            <v>Forro De Gesso - 9º Pav. Tipo</v>
          </cell>
          <cell r="E653">
            <v>114.25</v>
          </cell>
          <cell r="F653" t="str">
            <v>vb</v>
          </cell>
          <cell r="G653">
            <v>5027</v>
          </cell>
          <cell r="H653">
            <v>0</v>
          </cell>
          <cell r="I653" t="str">
            <v>01.015.001.011 - Forro De Gesso - 9º Pav. Tipo</v>
          </cell>
          <cell r="J653" t="str">
            <v>3 - CUSTOS DIRETOS</v>
          </cell>
          <cell r="K653" t="str">
            <v>3 - CUSTOS DIRETOS1.015.001.011</v>
          </cell>
          <cell r="L653">
            <v>5027</v>
          </cell>
          <cell r="N653">
            <v>3270</v>
          </cell>
          <cell r="O653">
            <v>0</v>
          </cell>
          <cell r="P653">
            <v>0</v>
          </cell>
          <cell r="Q653">
            <v>0</v>
          </cell>
          <cell r="R653">
            <v>3270</v>
          </cell>
          <cell r="T653">
            <v>0</v>
          </cell>
          <cell r="U653">
            <v>3270</v>
          </cell>
          <cell r="V653">
            <v>1757</v>
          </cell>
        </row>
        <row r="654">
          <cell r="D654" t="str">
            <v>Forro De Gesso - 10º Pav. Tipo</v>
          </cell>
          <cell r="E654">
            <v>114.25</v>
          </cell>
          <cell r="F654" t="str">
            <v>vb</v>
          </cell>
          <cell r="G654">
            <v>5027</v>
          </cell>
          <cell r="H654">
            <v>0</v>
          </cell>
          <cell r="I654" t="str">
            <v>01.015.001.012 - Forro De Gesso - 10º Pav. Tipo</v>
          </cell>
          <cell r="J654" t="str">
            <v>3 - CUSTOS DIRETOS</v>
          </cell>
          <cell r="K654" t="str">
            <v>3 - CUSTOS DIRETOS1.015.001.012</v>
          </cell>
          <cell r="L654">
            <v>5027</v>
          </cell>
          <cell r="N654">
            <v>3145</v>
          </cell>
          <cell r="O654">
            <v>0</v>
          </cell>
          <cell r="P654">
            <v>0</v>
          </cell>
          <cell r="Q654">
            <v>0</v>
          </cell>
          <cell r="R654">
            <v>3145</v>
          </cell>
          <cell r="T654">
            <v>0</v>
          </cell>
          <cell r="U654">
            <v>3145</v>
          </cell>
          <cell r="V654">
            <v>1882</v>
          </cell>
        </row>
        <row r="655">
          <cell r="D655" t="str">
            <v>Forro De Gesso - 11º Pav. Tipo</v>
          </cell>
          <cell r="E655">
            <v>114.25</v>
          </cell>
          <cell r="F655" t="str">
            <v>vb</v>
          </cell>
          <cell r="G655">
            <v>5027</v>
          </cell>
          <cell r="H655">
            <v>0</v>
          </cell>
          <cell r="I655" t="str">
            <v>01.015.001.013 - Forro De Gesso - 11º Pav. Tipo</v>
          </cell>
          <cell r="J655" t="str">
            <v>3 - CUSTOS DIRETOS</v>
          </cell>
          <cell r="K655" t="str">
            <v>3 - CUSTOS DIRETOS1.015.001.013</v>
          </cell>
          <cell r="L655">
            <v>5027</v>
          </cell>
          <cell r="N655">
            <v>7202</v>
          </cell>
          <cell r="O655">
            <v>0</v>
          </cell>
          <cell r="P655">
            <v>0</v>
          </cell>
          <cell r="Q655">
            <v>0</v>
          </cell>
          <cell r="R655">
            <v>7202</v>
          </cell>
          <cell r="T655">
            <v>0</v>
          </cell>
          <cell r="U655">
            <v>7202</v>
          </cell>
          <cell r="V655">
            <v>-2175</v>
          </cell>
        </row>
        <row r="656">
          <cell r="D656" t="str">
            <v>Forro De Gesso - 12º Pav. Tipo</v>
          </cell>
          <cell r="E656">
            <v>114.25</v>
          </cell>
          <cell r="F656" t="str">
            <v>vb</v>
          </cell>
          <cell r="G656">
            <v>5027</v>
          </cell>
          <cell r="H656">
            <v>0</v>
          </cell>
          <cell r="I656" t="str">
            <v>01.015.001.014 - Forro De Gesso - 12º Pav. Tipo</v>
          </cell>
          <cell r="J656" t="str">
            <v>3 - CUSTOS DIRETOS</v>
          </cell>
          <cell r="K656" t="str">
            <v>3 - CUSTOS DIRETOS1.015.001.014</v>
          </cell>
          <cell r="L656">
            <v>5027</v>
          </cell>
          <cell r="N656">
            <v>7202</v>
          </cell>
          <cell r="O656">
            <v>0</v>
          </cell>
          <cell r="P656">
            <v>0</v>
          </cell>
          <cell r="Q656">
            <v>0</v>
          </cell>
          <cell r="R656">
            <v>7202</v>
          </cell>
          <cell r="T656">
            <v>0</v>
          </cell>
          <cell r="U656">
            <v>7202</v>
          </cell>
          <cell r="V656">
            <v>-2175</v>
          </cell>
        </row>
        <row r="657">
          <cell r="D657" t="str">
            <v>Forro De Gesso - 13º Pav. Tipo</v>
          </cell>
          <cell r="E657">
            <v>114.25</v>
          </cell>
          <cell r="F657" t="str">
            <v>vb</v>
          </cell>
          <cell r="G657">
            <v>5027</v>
          </cell>
          <cell r="H657">
            <v>0</v>
          </cell>
          <cell r="I657" t="str">
            <v>01.015.001.015 - Forro De Gesso - 13º Pav. Tipo</v>
          </cell>
          <cell r="J657" t="str">
            <v>3 - CUSTOS DIRETOS</v>
          </cell>
          <cell r="K657" t="str">
            <v>3 - CUSTOS DIRETOS1.015.001.015</v>
          </cell>
          <cell r="L657">
            <v>5027</v>
          </cell>
          <cell r="N657">
            <v>7202</v>
          </cell>
          <cell r="O657">
            <v>0</v>
          </cell>
          <cell r="P657">
            <v>0</v>
          </cell>
          <cell r="Q657">
            <v>0</v>
          </cell>
          <cell r="R657">
            <v>7202</v>
          </cell>
          <cell r="T657">
            <v>0</v>
          </cell>
          <cell r="U657">
            <v>7202</v>
          </cell>
          <cell r="V657">
            <v>-2175</v>
          </cell>
        </row>
        <row r="658">
          <cell r="D658" t="str">
            <v>Forro De Gesso - 14º Pav. Tipo</v>
          </cell>
          <cell r="E658">
            <v>114.25</v>
          </cell>
          <cell r="F658" t="str">
            <v>vb</v>
          </cell>
          <cell r="G658">
            <v>5027</v>
          </cell>
          <cell r="H658">
            <v>0</v>
          </cell>
          <cell r="I658" t="str">
            <v>01.015.001.016 - Forro De Gesso - 14º Pav. Tipo</v>
          </cell>
          <cell r="J658" t="str">
            <v>3 - CUSTOS DIRETOS</v>
          </cell>
          <cell r="K658" t="str">
            <v>3 - CUSTOS DIRETOS1.015.001.016</v>
          </cell>
          <cell r="L658">
            <v>5027</v>
          </cell>
          <cell r="N658">
            <v>8432</v>
          </cell>
          <cell r="O658">
            <v>0</v>
          </cell>
          <cell r="P658">
            <v>0</v>
          </cell>
          <cell r="Q658">
            <v>0</v>
          </cell>
          <cell r="R658">
            <v>8432</v>
          </cell>
          <cell r="T658">
            <v>0</v>
          </cell>
          <cell r="U658">
            <v>8432</v>
          </cell>
          <cell r="V658">
            <v>-3405</v>
          </cell>
        </row>
        <row r="659">
          <cell r="D659" t="str">
            <v>Forro De Gesso - 15º Pav. Tipo</v>
          </cell>
          <cell r="E659">
            <v>114.25</v>
          </cell>
          <cell r="F659" t="str">
            <v>vb</v>
          </cell>
          <cell r="G659">
            <v>5027</v>
          </cell>
          <cell r="H659">
            <v>0</v>
          </cell>
          <cell r="I659" t="str">
            <v>01.015.001.017 - Forro De Gesso - 15º Pav. Tipo</v>
          </cell>
          <cell r="J659" t="str">
            <v>3 - CUSTOS DIRETOS</v>
          </cell>
          <cell r="K659" t="str">
            <v>3 - CUSTOS DIRETOS1.015.001.017</v>
          </cell>
          <cell r="L659">
            <v>5027</v>
          </cell>
          <cell r="N659">
            <v>8917</v>
          </cell>
          <cell r="O659">
            <v>0</v>
          </cell>
          <cell r="P659">
            <v>1600.18</v>
          </cell>
          <cell r="Q659">
            <v>0</v>
          </cell>
          <cell r="R659">
            <v>10517.18</v>
          </cell>
          <cell r="T659">
            <v>0</v>
          </cell>
          <cell r="U659">
            <v>10517.18</v>
          </cell>
          <cell r="V659">
            <v>-5490.18</v>
          </cell>
        </row>
        <row r="660">
          <cell r="D660" t="str">
            <v>Forro De Gesso - Cobertura</v>
          </cell>
          <cell r="E660">
            <v>0</v>
          </cell>
          <cell r="F660" t="str">
            <v>vb</v>
          </cell>
          <cell r="G660">
            <v>0</v>
          </cell>
          <cell r="H660">
            <v>0</v>
          </cell>
          <cell r="I660" t="str">
            <v>01.015.001.018 - Forro De Gesso - Cobertura</v>
          </cell>
          <cell r="J660" t="str">
            <v>3 - CUSTOS DIRETOS</v>
          </cell>
          <cell r="K660" t="str">
            <v>3 - CUSTOS DIRETOS1.015.001.018</v>
          </cell>
          <cell r="L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T660">
            <v>0</v>
          </cell>
          <cell r="U660">
            <v>0</v>
          </cell>
          <cell r="V660">
            <v>0</v>
          </cell>
        </row>
        <row r="661">
          <cell r="D661" t="str">
            <v>TABICA</v>
          </cell>
          <cell r="I661" t="str">
            <v>01.015.002 - TABICA</v>
          </cell>
          <cell r="J661" t="str">
            <v>3 - CUSTOS DIRETOS</v>
          </cell>
          <cell r="K661" t="str">
            <v>3 - CUSTOS DIRETOS1.015.002</v>
          </cell>
          <cell r="L661">
            <v>71433.260000000009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T661">
            <v>5804.96</v>
          </cell>
          <cell r="U661">
            <v>5804.96</v>
          </cell>
          <cell r="V661">
            <v>65628.3</v>
          </cell>
        </row>
        <row r="662">
          <cell r="D662" t="str">
            <v>Tabica - Subsolo</v>
          </cell>
          <cell r="E662">
            <v>0</v>
          </cell>
          <cell r="F662" t="str">
            <v>vb</v>
          </cell>
          <cell r="G662">
            <v>0</v>
          </cell>
          <cell r="H662">
            <v>0</v>
          </cell>
          <cell r="I662" t="str">
            <v>01.015.002.001 - Tabica - Subsolo</v>
          </cell>
          <cell r="J662" t="str">
            <v>3 - CUSTOS DIRETOS</v>
          </cell>
          <cell r="K662" t="str">
            <v>3 - CUSTOS DIRETOS1.015.002.001</v>
          </cell>
          <cell r="L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T662">
            <v>0</v>
          </cell>
          <cell r="U662">
            <v>0</v>
          </cell>
          <cell r="V662">
            <v>0</v>
          </cell>
        </row>
        <row r="663">
          <cell r="D663" t="str">
            <v>Tabica - Térreo</v>
          </cell>
          <cell r="E663">
            <v>297.69</v>
          </cell>
          <cell r="F663" t="str">
            <v>vb</v>
          </cell>
          <cell r="G663">
            <v>5804.96</v>
          </cell>
          <cell r="H663">
            <v>0</v>
          </cell>
          <cell r="I663" t="str">
            <v>01.015.002.002 - Tabica - Térreo</v>
          </cell>
          <cell r="J663" t="str">
            <v>3 - CUSTOS DIRETOS</v>
          </cell>
          <cell r="K663" t="str">
            <v>3 - CUSTOS DIRETOS1.015.002.002</v>
          </cell>
          <cell r="L663">
            <v>5804.96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T663">
            <v>5804.96</v>
          </cell>
          <cell r="U663">
            <v>5804.96</v>
          </cell>
          <cell r="V663">
            <v>0</v>
          </cell>
        </row>
        <row r="664">
          <cell r="D664" t="str">
            <v>Tabica - 1º Pav. Tipo</v>
          </cell>
          <cell r="E664">
            <v>224.37</v>
          </cell>
          <cell r="F664" t="str">
            <v>vb</v>
          </cell>
          <cell r="G664">
            <v>4375.22</v>
          </cell>
          <cell r="H664">
            <v>0</v>
          </cell>
          <cell r="I664" t="str">
            <v>01.015.002.003 - Tabica - 1º Pav. Tipo</v>
          </cell>
          <cell r="J664" t="str">
            <v>3 - CUSTOS DIRETOS</v>
          </cell>
          <cell r="K664" t="str">
            <v>3 - CUSTOS DIRETOS1.015.002.003</v>
          </cell>
          <cell r="L664">
            <v>4375.22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T664">
            <v>0</v>
          </cell>
          <cell r="U664">
            <v>0</v>
          </cell>
          <cell r="V664">
            <v>4375.22</v>
          </cell>
        </row>
        <row r="665">
          <cell r="D665" t="str">
            <v>Tabica - 2º Pav. Tipo</v>
          </cell>
          <cell r="E665">
            <v>224.37</v>
          </cell>
          <cell r="F665" t="str">
            <v>vb</v>
          </cell>
          <cell r="G665">
            <v>4375.22</v>
          </cell>
          <cell r="H665">
            <v>0</v>
          </cell>
          <cell r="I665" t="str">
            <v>01.015.002.004 - Tabica - 2º Pav. Tipo</v>
          </cell>
          <cell r="J665" t="str">
            <v>3 - CUSTOS DIRETOS</v>
          </cell>
          <cell r="K665" t="str">
            <v>3 - CUSTOS DIRETOS1.015.002.004</v>
          </cell>
          <cell r="L665">
            <v>4375.22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T665">
            <v>0</v>
          </cell>
          <cell r="U665">
            <v>0</v>
          </cell>
          <cell r="V665">
            <v>4375.22</v>
          </cell>
        </row>
        <row r="666">
          <cell r="D666" t="str">
            <v>Tabica - 3º Pav. Tipo</v>
          </cell>
          <cell r="E666">
            <v>224.37</v>
          </cell>
          <cell r="F666" t="str">
            <v>vb</v>
          </cell>
          <cell r="G666">
            <v>4375.22</v>
          </cell>
          <cell r="H666">
            <v>0</v>
          </cell>
          <cell r="I666" t="str">
            <v>01.015.002.005 - Tabica - 3º Pav. Tipo</v>
          </cell>
          <cell r="J666" t="str">
            <v>3 - CUSTOS DIRETOS</v>
          </cell>
          <cell r="K666" t="str">
            <v>3 - CUSTOS DIRETOS1.015.002.005</v>
          </cell>
          <cell r="L666">
            <v>4375.22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T666">
            <v>0</v>
          </cell>
          <cell r="U666">
            <v>0</v>
          </cell>
          <cell r="V666">
            <v>4375.22</v>
          </cell>
        </row>
        <row r="667">
          <cell r="D667" t="str">
            <v>Tabica - 4º Pav. Tipo</v>
          </cell>
          <cell r="E667">
            <v>224.37</v>
          </cell>
          <cell r="F667" t="str">
            <v>vb</v>
          </cell>
          <cell r="G667">
            <v>4375.22</v>
          </cell>
          <cell r="H667">
            <v>0</v>
          </cell>
          <cell r="I667" t="str">
            <v>01.015.002.006 - Tabica - 4º Pav. Tipo</v>
          </cell>
          <cell r="J667" t="str">
            <v>3 - CUSTOS DIRETOS</v>
          </cell>
          <cell r="K667" t="str">
            <v>3 - CUSTOS DIRETOS1.015.002.006</v>
          </cell>
          <cell r="L667">
            <v>4375.22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T667">
            <v>0</v>
          </cell>
          <cell r="U667">
            <v>0</v>
          </cell>
          <cell r="V667">
            <v>4375.22</v>
          </cell>
        </row>
        <row r="668">
          <cell r="D668" t="str">
            <v>Tabica - 5º Pav. Tipo</v>
          </cell>
          <cell r="E668">
            <v>224.37</v>
          </cell>
          <cell r="F668" t="str">
            <v>vb</v>
          </cell>
          <cell r="G668">
            <v>4375.22</v>
          </cell>
          <cell r="H668">
            <v>0</v>
          </cell>
          <cell r="I668" t="str">
            <v>01.015.002.007 - Tabica - 5º Pav. Tipo</v>
          </cell>
          <cell r="J668" t="str">
            <v>3 - CUSTOS DIRETOS</v>
          </cell>
          <cell r="K668" t="str">
            <v>3 - CUSTOS DIRETOS1.015.002.007</v>
          </cell>
          <cell r="L668">
            <v>4375.22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T668">
            <v>0</v>
          </cell>
          <cell r="U668">
            <v>0</v>
          </cell>
          <cell r="V668">
            <v>4375.22</v>
          </cell>
        </row>
        <row r="669">
          <cell r="D669" t="str">
            <v>Tabica - 6º Pav. Tipo</v>
          </cell>
          <cell r="E669">
            <v>224.37</v>
          </cell>
          <cell r="F669" t="str">
            <v>vb</v>
          </cell>
          <cell r="G669">
            <v>4375.22</v>
          </cell>
          <cell r="H669">
            <v>0</v>
          </cell>
          <cell r="I669" t="str">
            <v>01.015.002.008 - Tabica - 6º Pav. Tipo</v>
          </cell>
          <cell r="J669" t="str">
            <v>3 - CUSTOS DIRETOS</v>
          </cell>
          <cell r="K669" t="str">
            <v>3 - CUSTOS DIRETOS1.015.002.008</v>
          </cell>
          <cell r="L669">
            <v>4375.22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T669">
            <v>0</v>
          </cell>
          <cell r="U669">
            <v>0</v>
          </cell>
          <cell r="V669">
            <v>4375.22</v>
          </cell>
        </row>
        <row r="670">
          <cell r="D670" t="str">
            <v>Tabica - 7º Pav. Tipo</v>
          </cell>
          <cell r="E670">
            <v>224.37</v>
          </cell>
          <cell r="F670" t="str">
            <v>vb</v>
          </cell>
          <cell r="G670">
            <v>4375.22</v>
          </cell>
          <cell r="H670">
            <v>0</v>
          </cell>
          <cell r="I670" t="str">
            <v>01.015.002.009 - Tabica - 7º Pav. Tipo</v>
          </cell>
          <cell r="J670" t="str">
            <v>3 - CUSTOS DIRETOS</v>
          </cell>
          <cell r="K670" t="str">
            <v>3 - CUSTOS DIRETOS1.015.002.009</v>
          </cell>
          <cell r="L670">
            <v>4375.22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T670">
            <v>0</v>
          </cell>
          <cell r="U670">
            <v>0</v>
          </cell>
          <cell r="V670">
            <v>4375.22</v>
          </cell>
        </row>
        <row r="671">
          <cell r="D671" t="str">
            <v>Tabica - 8º Pav. Tipo</v>
          </cell>
          <cell r="E671">
            <v>224.37</v>
          </cell>
          <cell r="F671" t="str">
            <v>vb</v>
          </cell>
          <cell r="G671">
            <v>4375.22</v>
          </cell>
          <cell r="H671">
            <v>0</v>
          </cell>
          <cell r="I671" t="str">
            <v>01.015.002.010 - Tabica - 8º Pav. Tipo</v>
          </cell>
          <cell r="J671" t="str">
            <v>3 - CUSTOS DIRETOS</v>
          </cell>
          <cell r="K671" t="str">
            <v>3 - CUSTOS DIRETOS1.015.002.010</v>
          </cell>
          <cell r="L671">
            <v>4375.22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T671">
            <v>0</v>
          </cell>
          <cell r="U671">
            <v>0</v>
          </cell>
          <cell r="V671">
            <v>4375.22</v>
          </cell>
        </row>
        <row r="672">
          <cell r="D672" t="str">
            <v>Tabica - 9º Pav. Tipo</v>
          </cell>
          <cell r="E672">
            <v>224.37</v>
          </cell>
          <cell r="F672" t="str">
            <v>vb</v>
          </cell>
          <cell r="G672">
            <v>4375.22</v>
          </cell>
          <cell r="H672">
            <v>0</v>
          </cell>
          <cell r="I672" t="str">
            <v>01.015.002.011 - Tabica - 9º Pav. Tipo</v>
          </cell>
          <cell r="J672" t="str">
            <v>3 - CUSTOS DIRETOS</v>
          </cell>
          <cell r="K672" t="str">
            <v>3 - CUSTOS DIRETOS1.015.002.011</v>
          </cell>
          <cell r="L672">
            <v>4375.22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T672">
            <v>0</v>
          </cell>
          <cell r="U672">
            <v>0</v>
          </cell>
          <cell r="V672">
            <v>4375.22</v>
          </cell>
        </row>
        <row r="673">
          <cell r="D673" t="str">
            <v>Tabica - 10º Pav. Tipo</v>
          </cell>
          <cell r="E673">
            <v>224.37</v>
          </cell>
          <cell r="F673" t="str">
            <v>vb</v>
          </cell>
          <cell r="G673">
            <v>4375.22</v>
          </cell>
          <cell r="H673">
            <v>0</v>
          </cell>
          <cell r="I673" t="str">
            <v>01.015.002.012 - Tabica - 10º Pav. Tipo</v>
          </cell>
          <cell r="J673" t="str">
            <v>3 - CUSTOS DIRETOS</v>
          </cell>
          <cell r="K673" t="str">
            <v>3 - CUSTOS DIRETOS1.015.002.012</v>
          </cell>
          <cell r="L673">
            <v>4375.22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T673">
            <v>0</v>
          </cell>
          <cell r="U673">
            <v>0</v>
          </cell>
          <cell r="V673">
            <v>4375.22</v>
          </cell>
        </row>
        <row r="674">
          <cell r="D674" t="str">
            <v>Tabica - 11º Pav. Tipo</v>
          </cell>
          <cell r="E674">
            <v>224.37</v>
          </cell>
          <cell r="F674" t="str">
            <v>vb</v>
          </cell>
          <cell r="G674">
            <v>4375.22</v>
          </cell>
          <cell r="H674">
            <v>0</v>
          </cell>
          <cell r="I674" t="str">
            <v>01.015.002.013 - Tabica - 11º Pav. Tipo</v>
          </cell>
          <cell r="J674" t="str">
            <v>3 - CUSTOS DIRETOS</v>
          </cell>
          <cell r="K674" t="str">
            <v>3 - CUSTOS DIRETOS1.015.002.013</v>
          </cell>
          <cell r="L674">
            <v>4375.22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T674">
            <v>0</v>
          </cell>
          <cell r="U674">
            <v>0</v>
          </cell>
          <cell r="V674">
            <v>4375.22</v>
          </cell>
        </row>
        <row r="675">
          <cell r="D675" t="str">
            <v>Tabica - 12º Pav. Tipo</v>
          </cell>
          <cell r="E675">
            <v>224.37</v>
          </cell>
          <cell r="F675" t="str">
            <v>vb</v>
          </cell>
          <cell r="G675">
            <v>4375.22</v>
          </cell>
          <cell r="H675">
            <v>0</v>
          </cell>
          <cell r="I675" t="str">
            <v>01.015.002.014 - Tabica - 12º Pav. Tipo</v>
          </cell>
          <cell r="J675" t="str">
            <v>3 - CUSTOS DIRETOS</v>
          </cell>
          <cell r="K675" t="str">
            <v>3 - CUSTOS DIRETOS1.015.002.014</v>
          </cell>
          <cell r="L675">
            <v>4375.22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T675">
            <v>0</v>
          </cell>
          <cell r="U675">
            <v>0</v>
          </cell>
          <cell r="V675">
            <v>4375.22</v>
          </cell>
        </row>
        <row r="676">
          <cell r="D676" t="str">
            <v>Tabica - 13º Pav. Tipo</v>
          </cell>
          <cell r="E676">
            <v>224.37</v>
          </cell>
          <cell r="F676" t="str">
            <v>vb</v>
          </cell>
          <cell r="G676">
            <v>4375.22</v>
          </cell>
          <cell r="H676">
            <v>0</v>
          </cell>
          <cell r="I676" t="str">
            <v>01.015.002.015 - Tabica - 13º Pav. Tipo</v>
          </cell>
          <cell r="J676" t="str">
            <v>3 - CUSTOS DIRETOS</v>
          </cell>
          <cell r="K676" t="str">
            <v>3 - CUSTOS DIRETOS1.015.002.015</v>
          </cell>
          <cell r="L676">
            <v>4375.22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T676">
            <v>0</v>
          </cell>
          <cell r="U676">
            <v>0</v>
          </cell>
          <cell r="V676">
            <v>4375.22</v>
          </cell>
        </row>
        <row r="677">
          <cell r="D677" t="str">
            <v>Tabica - 14º Pav. Tipo</v>
          </cell>
          <cell r="E677">
            <v>224.37</v>
          </cell>
          <cell r="F677" t="str">
            <v>vb</v>
          </cell>
          <cell r="G677">
            <v>4375.22</v>
          </cell>
          <cell r="H677">
            <v>0</v>
          </cell>
          <cell r="I677" t="str">
            <v>01.015.002.016 - Tabica - 14º Pav. Tipo</v>
          </cell>
          <cell r="J677" t="str">
            <v>3 - CUSTOS DIRETOS</v>
          </cell>
          <cell r="K677" t="str">
            <v>3 - CUSTOS DIRETOS1.015.002.016</v>
          </cell>
          <cell r="L677">
            <v>4375.22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T677">
            <v>0</v>
          </cell>
          <cell r="U677">
            <v>0</v>
          </cell>
          <cell r="V677">
            <v>4375.22</v>
          </cell>
        </row>
        <row r="678">
          <cell r="D678" t="str">
            <v>Tabica - 15º Pav. Tipo</v>
          </cell>
          <cell r="E678">
            <v>224.37</v>
          </cell>
          <cell r="F678" t="str">
            <v>vb</v>
          </cell>
          <cell r="G678">
            <v>4375.22</v>
          </cell>
          <cell r="H678">
            <v>0</v>
          </cell>
          <cell r="I678" t="str">
            <v>01.015.002.017 - Tabica - 15º Pav. Tipo</v>
          </cell>
          <cell r="J678" t="str">
            <v>3 - CUSTOS DIRETOS</v>
          </cell>
          <cell r="K678" t="str">
            <v>3 - CUSTOS DIRETOS1.015.002.017</v>
          </cell>
          <cell r="L678">
            <v>4375.22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T678">
            <v>0</v>
          </cell>
          <cell r="U678">
            <v>0</v>
          </cell>
          <cell r="V678">
            <v>4375.22</v>
          </cell>
        </row>
        <row r="679">
          <cell r="D679" t="str">
            <v>Tabica - Cobertura</v>
          </cell>
          <cell r="E679">
            <v>0</v>
          </cell>
          <cell r="F679" t="str">
            <v>vb</v>
          </cell>
          <cell r="G679">
            <v>0</v>
          </cell>
          <cell r="H679">
            <v>0</v>
          </cell>
          <cell r="I679" t="str">
            <v>01.015.002.018 - Tabica - Cobertura</v>
          </cell>
          <cell r="J679" t="str">
            <v>3 - CUSTOS DIRETOS</v>
          </cell>
          <cell r="K679" t="str">
            <v>3 - CUSTOS DIRETOS1.015.002.018</v>
          </cell>
          <cell r="L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D680" t="str">
            <v>CAIXOTE DE GESSO</v>
          </cell>
          <cell r="I680" t="str">
            <v>01.015.003 - CAIXOTE DE GESSO</v>
          </cell>
          <cell r="J680" t="str">
            <v>3 - CUSTOS DIRETOS</v>
          </cell>
          <cell r="K680" t="str">
            <v>3 - CUSTOS DIRETOS1.015.003</v>
          </cell>
          <cell r="L680">
            <v>16024.499999999995</v>
          </cell>
          <cell r="N680">
            <v>-14455.199999999997</v>
          </cell>
          <cell r="O680">
            <v>0</v>
          </cell>
          <cell r="P680">
            <v>0</v>
          </cell>
          <cell r="Q680">
            <v>0</v>
          </cell>
          <cell r="R680">
            <v>-14455.199999999997</v>
          </cell>
          <cell r="T680">
            <v>0</v>
          </cell>
          <cell r="U680">
            <v>-14455.199999999997</v>
          </cell>
          <cell r="V680">
            <v>30479.69999999999</v>
          </cell>
        </row>
        <row r="681">
          <cell r="D681" t="str">
            <v>Caixote De Gesso - Subsolo</v>
          </cell>
          <cell r="E681">
            <v>0</v>
          </cell>
          <cell r="F681" t="str">
            <v>vb</v>
          </cell>
          <cell r="G681">
            <v>0</v>
          </cell>
          <cell r="H681">
            <v>0</v>
          </cell>
          <cell r="I681" t="str">
            <v>01.015.003.001 - Caixote De Gesso - Subsolo</v>
          </cell>
          <cell r="J681" t="str">
            <v>3 - CUSTOS DIRETOS</v>
          </cell>
          <cell r="K681" t="str">
            <v>3 - CUSTOS DIRETOS1.015.003.001</v>
          </cell>
          <cell r="L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T681">
            <v>0</v>
          </cell>
          <cell r="U681">
            <v>0</v>
          </cell>
          <cell r="V681">
            <v>0</v>
          </cell>
        </row>
        <row r="682">
          <cell r="D682" t="str">
            <v>Caixote De Gesso - Térreo</v>
          </cell>
          <cell r="E682">
            <v>0</v>
          </cell>
          <cell r="F682" t="str">
            <v>vb</v>
          </cell>
          <cell r="G682">
            <v>0</v>
          </cell>
          <cell r="H682">
            <v>0</v>
          </cell>
          <cell r="I682" t="str">
            <v>01.015.003.002 - Caixote De Gesso - Térreo</v>
          </cell>
          <cell r="J682" t="str">
            <v>3 - CUSTOS DIRETOS</v>
          </cell>
          <cell r="K682" t="str">
            <v>3 - CUSTOS DIRETOS1.015.003.002</v>
          </cell>
          <cell r="L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T682">
            <v>0</v>
          </cell>
          <cell r="U682">
            <v>0</v>
          </cell>
          <cell r="V682">
            <v>0</v>
          </cell>
        </row>
        <row r="683">
          <cell r="D683" t="str">
            <v>Caixote De Gesso - 1º Pav. Tipo</v>
          </cell>
          <cell r="E683">
            <v>9</v>
          </cell>
          <cell r="F683" t="str">
            <v>vb</v>
          </cell>
          <cell r="G683">
            <v>1068.3</v>
          </cell>
          <cell r="H683">
            <v>0</v>
          </cell>
          <cell r="I683" t="str">
            <v>01.015.003.003 - Caixote De Gesso - 1º Pav. Tipo</v>
          </cell>
          <cell r="J683" t="str">
            <v>3 - CUSTOS DIRETOS</v>
          </cell>
          <cell r="K683" t="str">
            <v>3 - CUSTOS DIRETOS1.015.003.003</v>
          </cell>
          <cell r="L683">
            <v>1068.3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T683">
            <v>0</v>
          </cell>
          <cell r="U683">
            <v>0</v>
          </cell>
          <cell r="V683">
            <v>1068.3</v>
          </cell>
        </row>
        <row r="684">
          <cell r="D684" t="str">
            <v>Caixote De Gesso - 2º Pav. Tipo</v>
          </cell>
          <cell r="E684">
            <v>9</v>
          </cell>
          <cell r="F684" t="str">
            <v>vb</v>
          </cell>
          <cell r="G684">
            <v>1068.3</v>
          </cell>
          <cell r="H684">
            <v>0</v>
          </cell>
          <cell r="I684" t="str">
            <v>01.015.003.004 - Caixote De Gesso - 2º Pav. Tipo</v>
          </cell>
          <cell r="J684" t="str">
            <v>3 - CUSTOS DIRETOS</v>
          </cell>
          <cell r="K684" t="str">
            <v>3 - CUSTOS DIRETOS1.015.003.004</v>
          </cell>
          <cell r="L684">
            <v>1068.3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T684">
            <v>0</v>
          </cell>
          <cell r="U684">
            <v>0</v>
          </cell>
          <cell r="V684">
            <v>1068.3</v>
          </cell>
        </row>
        <row r="685">
          <cell r="D685" t="str">
            <v>Caixote De Gesso - 3º Pav. Tipo</v>
          </cell>
          <cell r="E685">
            <v>9</v>
          </cell>
          <cell r="F685" t="str">
            <v>vb</v>
          </cell>
          <cell r="G685">
            <v>1068.3</v>
          </cell>
          <cell r="H685">
            <v>0</v>
          </cell>
          <cell r="I685" t="str">
            <v>01.015.003.005 - Caixote De Gesso - 3º Pav. Tipo</v>
          </cell>
          <cell r="J685" t="str">
            <v>3 - CUSTOS DIRETOS</v>
          </cell>
          <cell r="K685" t="str">
            <v>3 - CUSTOS DIRETOS1.015.003.005</v>
          </cell>
          <cell r="L685">
            <v>1068.3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T685">
            <v>0</v>
          </cell>
          <cell r="U685">
            <v>0</v>
          </cell>
          <cell r="V685">
            <v>1068.3</v>
          </cell>
        </row>
        <row r="686">
          <cell r="D686" t="str">
            <v>Caixote De Gesso - 4º Pav. Tipo</v>
          </cell>
          <cell r="E686">
            <v>9</v>
          </cell>
          <cell r="F686" t="str">
            <v>vb</v>
          </cell>
          <cell r="G686">
            <v>1068.3</v>
          </cell>
          <cell r="H686">
            <v>0</v>
          </cell>
          <cell r="I686" t="str">
            <v>01.015.003.006 - Caixote De Gesso - 4º Pav. Tipo</v>
          </cell>
          <cell r="J686" t="str">
            <v>3 - CUSTOS DIRETOS</v>
          </cell>
          <cell r="K686" t="str">
            <v>3 - CUSTOS DIRETOS1.015.003.006</v>
          </cell>
          <cell r="L686">
            <v>1068.3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T686">
            <v>0</v>
          </cell>
          <cell r="U686">
            <v>0</v>
          </cell>
          <cell r="V686">
            <v>1068.3</v>
          </cell>
        </row>
        <row r="687">
          <cell r="D687" t="str">
            <v>Caixote De Gesso - 5º Pav. Tipo</v>
          </cell>
          <cell r="E687">
            <v>9</v>
          </cell>
          <cell r="F687" t="str">
            <v>vb</v>
          </cell>
          <cell r="G687">
            <v>1068.3</v>
          </cell>
          <cell r="H687">
            <v>0</v>
          </cell>
          <cell r="I687" t="str">
            <v>01.015.003.007 - Caixote De Gesso - 5º Pav. Tipo</v>
          </cell>
          <cell r="J687" t="str">
            <v>3 - CUSTOS DIRETOS</v>
          </cell>
          <cell r="K687" t="str">
            <v>3 - CUSTOS DIRETOS1.015.003.007</v>
          </cell>
          <cell r="L687">
            <v>1068.3</v>
          </cell>
          <cell r="N687">
            <v>-2481.6</v>
          </cell>
          <cell r="O687">
            <v>0</v>
          </cell>
          <cell r="P687">
            <v>0</v>
          </cell>
          <cell r="Q687">
            <v>0</v>
          </cell>
          <cell r="R687">
            <v>-2481.6</v>
          </cell>
          <cell r="T687">
            <v>0</v>
          </cell>
          <cell r="U687">
            <v>-2481.6</v>
          </cell>
          <cell r="V687">
            <v>3549.8999999999996</v>
          </cell>
        </row>
        <row r="688">
          <cell r="D688" t="str">
            <v>Caixote De Gesso - 6º Pav. Tipo</v>
          </cell>
          <cell r="E688">
            <v>9</v>
          </cell>
          <cell r="F688" t="str">
            <v>vb</v>
          </cell>
          <cell r="G688">
            <v>1068.3</v>
          </cell>
          <cell r="H688">
            <v>0</v>
          </cell>
          <cell r="I688" t="str">
            <v>01.015.003.008 - Caixote De Gesso - 6º Pav. Tipo</v>
          </cell>
          <cell r="J688" t="str">
            <v>3 - CUSTOS DIRETOS</v>
          </cell>
          <cell r="K688" t="str">
            <v>3 - CUSTOS DIRETOS1.015.003.008</v>
          </cell>
          <cell r="L688">
            <v>1068.3</v>
          </cell>
          <cell r="N688">
            <v>-2481.6</v>
          </cell>
          <cell r="O688">
            <v>0</v>
          </cell>
          <cell r="P688">
            <v>0</v>
          </cell>
          <cell r="Q688">
            <v>0</v>
          </cell>
          <cell r="R688">
            <v>-2481.6</v>
          </cell>
          <cell r="T688">
            <v>0</v>
          </cell>
          <cell r="U688">
            <v>-2481.6</v>
          </cell>
          <cell r="V688">
            <v>3549.8999999999996</v>
          </cell>
        </row>
        <row r="689">
          <cell r="D689" t="str">
            <v>Caixote De Gesso - 7º Pav. Tipo</v>
          </cell>
          <cell r="E689">
            <v>9</v>
          </cell>
          <cell r="F689" t="str">
            <v>vb</v>
          </cell>
          <cell r="G689">
            <v>1068.3</v>
          </cell>
          <cell r="H689">
            <v>0</v>
          </cell>
          <cell r="I689" t="str">
            <v>01.015.003.009 - Caixote De Gesso - 7º Pav. Tipo</v>
          </cell>
          <cell r="J689" t="str">
            <v>3 - CUSTOS DIRETOS</v>
          </cell>
          <cell r="K689" t="str">
            <v>3 - CUSTOS DIRETOS1.015.003.009</v>
          </cell>
          <cell r="L689">
            <v>1068.3</v>
          </cell>
          <cell r="N689">
            <v>-4818.3999999999996</v>
          </cell>
          <cell r="O689">
            <v>0</v>
          </cell>
          <cell r="P689">
            <v>0</v>
          </cell>
          <cell r="Q689">
            <v>0</v>
          </cell>
          <cell r="R689">
            <v>-4818.3999999999996</v>
          </cell>
          <cell r="T689">
            <v>0</v>
          </cell>
          <cell r="U689">
            <v>-4818.3999999999996</v>
          </cell>
          <cell r="V689">
            <v>5886.7</v>
          </cell>
        </row>
        <row r="690">
          <cell r="D690" t="str">
            <v>Caixote De Gesso - 8º Pav. Tipo</v>
          </cell>
          <cell r="E690">
            <v>9</v>
          </cell>
          <cell r="F690" t="str">
            <v>vb</v>
          </cell>
          <cell r="G690">
            <v>1068.3</v>
          </cell>
          <cell r="H690">
            <v>0</v>
          </cell>
          <cell r="I690" t="str">
            <v>01.015.003.010 - Caixote De Gesso - 8º Pav. Tipo</v>
          </cell>
          <cell r="J690" t="str">
            <v>3 - CUSTOS DIRETOS</v>
          </cell>
          <cell r="K690" t="str">
            <v>3 - CUSTOS DIRETOS1.015.003.010</v>
          </cell>
          <cell r="L690">
            <v>1068.3</v>
          </cell>
          <cell r="N690">
            <v>-2336.8000000000002</v>
          </cell>
          <cell r="O690">
            <v>0</v>
          </cell>
          <cell r="P690">
            <v>0</v>
          </cell>
          <cell r="Q690">
            <v>0</v>
          </cell>
          <cell r="R690">
            <v>-2336.8000000000002</v>
          </cell>
          <cell r="T690">
            <v>0</v>
          </cell>
          <cell r="U690">
            <v>-2336.8000000000002</v>
          </cell>
          <cell r="V690">
            <v>3405.1000000000004</v>
          </cell>
        </row>
        <row r="691">
          <cell r="D691" t="str">
            <v>Caixote De Gesso - 9º Pav. Tipo</v>
          </cell>
          <cell r="E691">
            <v>9</v>
          </cell>
          <cell r="F691" t="str">
            <v>vb</v>
          </cell>
          <cell r="G691">
            <v>1068.3</v>
          </cell>
          <cell r="H691">
            <v>0</v>
          </cell>
          <cell r="I691" t="str">
            <v>01.015.003.011 - Caixote De Gesso - 9º Pav. Tipo</v>
          </cell>
          <cell r="J691" t="str">
            <v>3 - CUSTOS DIRETOS</v>
          </cell>
          <cell r="K691" t="str">
            <v>3 - CUSTOS DIRETOS1.015.003.011</v>
          </cell>
          <cell r="L691">
            <v>1068.3</v>
          </cell>
          <cell r="N691">
            <v>-2336.8000000000002</v>
          </cell>
          <cell r="O691">
            <v>0</v>
          </cell>
          <cell r="P691">
            <v>0</v>
          </cell>
          <cell r="Q691">
            <v>0</v>
          </cell>
          <cell r="R691">
            <v>-2336.8000000000002</v>
          </cell>
          <cell r="T691">
            <v>0</v>
          </cell>
          <cell r="U691">
            <v>-2336.8000000000002</v>
          </cell>
          <cell r="V691">
            <v>3405.1000000000004</v>
          </cell>
        </row>
        <row r="692">
          <cell r="D692" t="str">
            <v>Caixote De Gesso - 10º Pav. Tipo</v>
          </cell>
          <cell r="E692">
            <v>9</v>
          </cell>
          <cell r="F692" t="str">
            <v>vb</v>
          </cell>
          <cell r="G692">
            <v>1068.3</v>
          </cell>
          <cell r="H692">
            <v>0</v>
          </cell>
          <cell r="I692" t="str">
            <v>01.015.003.012 - Caixote De Gesso - 10º Pav. Tipo</v>
          </cell>
          <cell r="J692" t="str">
            <v>3 - CUSTOS DIRETOS</v>
          </cell>
          <cell r="K692" t="str">
            <v>3 - CUSTOS DIRETOS1.015.003.012</v>
          </cell>
          <cell r="L692">
            <v>1068.3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T692">
            <v>0</v>
          </cell>
          <cell r="U692">
            <v>0</v>
          </cell>
          <cell r="V692">
            <v>1068.3</v>
          </cell>
        </row>
        <row r="693">
          <cell r="D693" t="str">
            <v>Caixote De Gesso - 11º Pav. Tipo</v>
          </cell>
          <cell r="E693">
            <v>9</v>
          </cell>
          <cell r="F693" t="str">
            <v>vb</v>
          </cell>
          <cell r="G693">
            <v>1068.3</v>
          </cell>
          <cell r="H693">
            <v>0</v>
          </cell>
          <cell r="I693" t="str">
            <v>01.015.003.013 - Caixote De Gesso - 11º Pav. Tipo</v>
          </cell>
          <cell r="J693" t="str">
            <v>3 - CUSTOS DIRETOS</v>
          </cell>
          <cell r="K693" t="str">
            <v>3 - CUSTOS DIRETOS1.015.003.013</v>
          </cell>
          <cell r="L693">
            <v>1068.3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T693">
            <v>0</v>
          </cell>
          <cell r="U693">
            <v>0</v>
          </cell>
          <cell r="V693">
            <v>1068.3</v>
          </cell>
        </row>
        <row r="694">
          <cell r="D694" t="str">
            <v>Caixote De Gesso - 12º Pav. Tipo</v>
          </cell>
          <cell r="E694">
            <v>9</v>
          </cell>
          <cell r="F694" t="str">
            <v>vb</v>
          </cell>
          <cell r="G694">
            <v>1068.3</v>
          </cell>
          <cell r="H694">
            <v>0</v>
          </cell>
          <cell r="I694" t="str">
            <v>01.015.003.014 - Caixote De Gesso - 12º Pav. Tipo</v>
          </cell>
          <cell r="J694" t="str">
            <v>3 - CUSTOS DIRETOS</v>
          </cell>
          <cell r="K694" t="str">
            <v>3 - CUSTOS DIRETOS1.015.003.014</v>
          </cell>
          <cell r="L694">
            <v>1068.3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T694">
            <v>0</v>
          </cell>
          <cell r="U694">
            <v>0</v>
          </cell>
          <cell r="V694">
            <v>1068.3</v>
          </cell>
        </row>
        <row r="695">
          <cell r="D695" t="str">
            <v>Caixote De Gesso - 13º Pav. Tipo</v>
          </cell>
          <cell r="E695">
            <v>9</v>
          </cell>
          <cell r="F695" t="str">
            <v>vb</v>
          </cell>
          <cell r="G695">
            <v>1068.3</v>
          </cell>
          <cell r="H695">
            <v>0</v>
          </cell>
          <cell r="I695" t="str">
            <v>01.015.003.015 - Caixote De Gesso - 13º Pav. Tipo</v>
          </cell>
          <cell r="J695" t="str">
            <v>3 - CUSTOS DIRETOS</v>
          </cell>
          <cell r="K695" t="str">
            <v>3 - CUSTOS DIRETOS1.015.003.015</v>
          </cell>
          <cell r="L695">
            <v>1068.3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T695">
            <v>0</v>
          </cell>
          <cell r="U695">
            <v>0</v>
          </cell>
          <cell r="V695">
            <v>1068.3</v>
          </cell>
        </row>
        <row r="696">
          <cell r="D696" t="str">
            <v>Caixote De Gesso - 14º Pav. Tipo</v>
          </cell>
          <cell r="E696">
            <v>9</v>
          </cell>
          <cell r="F696" t="str">
            <v>vb</v>
          </cell>
          <cell r="G696">
            <v>1068.3</v>
          </cell>
          <cell r="H696">
            <v>0</v>
          </cell>
          <cell r="I696" t="str">
            <v>01.015.003.016 - Caixote De Gesso - 14º Pav. Tipo</v>
          </cell>
          <cell r="J696" t="str">
            <v>3 - CUSTOS DIRETOS</v>
          </cell>
          <cell r="K696" t="str">
            <v>3 - CUSTOS DIRETOS1.015.003.016</v>
          </cell>
          <cell r="L696">
            <v>1068.3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T696">
            <v>0</v>
          </cell>
          <cell r="U696">
            <v>0</v>
          </cell>
          <cell r="V696">
            <v>1068.3</v>
          </cell>
        </row>
        <row r="697">
          <cell r="D697" t="str">
            <v>Caixote De Gesso - 15º Pav. Tipo</v>
          </cell>
          <cell r="E697">
            <v>9</v>
          </cell>
          <cell r="F697" t="str">
            <v>vb</v>
          </cell>
          <cell r="G697">
            <v>1068.3</v>
          </cell>
          <cell r="H697">
            <v>0</v>
          </cell>
          <cell r="I697" t="str">
            <v>01.015.003.017 - Caixote De Gesso - 15º Pav. Tipo</v>
          </cell>
          <cell r="J697" t="str">
            <v>3 - CUSTOS DIRETOS</v>
          </cell>
          <cell r="K697" t="str">
            <v>3 - CUSTOS DIRETOS1.015.003.017</v>
          </cell>
          <cell r="L697">
            <v>1068.3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T697">
            <v>0</v>
          </cell>
          <cell r="U697">
            <v>0</v>
          </cell>
          <cell r="V697">
            <v>1068.3</v>
          </cell>
        </row>
        <row r="698">
          <cell r="D698" t="str">
            <v>Caixote De Gesso - Cobertura</v>
          </cell>
          <cell r="E698">
            <v>0</v>
          </cell>
          <cell r="F698" t="str">
            <v>vb</v>
          </cell>
          <cell r="G698">
            <v>0</v>
          </cell>
          <cell r="H698">
            <v>0</v>
          </cell>
          <cell r="I698" t="str">
            <v>01.015.003.018 - Caixote De Gesso - Cobertura</v>
          </cell>
          <cell r="J698" t="str">
            <v>3 - CUSTOS DIRETOS</v>
          </cell>
          <cell r="K698" t="str">
            <v>3 - CUSTOS DIRETOS1.015.003.018</v>
          </cell>
          <cell r="L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T698">
            <v>0</v>
          </cell>
          <cell r="U698">
            <v>0</v>
          </cell>
          <cell r="V698">
            <v>0</v>
          </cell>
        </row>
        <row r="699">
          <cell r="D699" t="str">
            <v>GESSO CORRIDO</v>
          </cell>
          <cell r="I699" t="str">
            <v>01.015.004 - GESSO CORRIDO</v>
          </cell>
          <cell r="J699" t="str">
            <v>3 - CUSTOS DIRETOS</v>
          </cell>
          <cell r="K699" t="str">
            <v>3 - CUSTOS DIRETOS1.015.004</v>
          </cell>
          <cell r="L699">
            <v>97708.799999999988</v>
          </cell>
          <cell r="N699">
            <v>192270.54000000004</v>
          </cell>
          <cell r="O699">
            <v>0</v>
          </cell>
          <cell r="P699">
            <v>0</v>
          </cell>
          <cell r="Q699">
            <v>0</v>
          </cell>
          <cell r="R699">
            <v>192270.54000000004</v>
          </cell>
          <cell r="T699">
            <v>0</v>
          </cell>
          <cell r="U699">
            <v>192270.54000000004</v>
          </cell>
          <cell r="V699">
            <v>-94561.740000000049</v>
          </cell>
        </row>
        <row r="700">
          <cell r="D700" t="str">
            <v>Gesso Corrido - Subsolo</v>
          </cell>
          <cell r="E700">
            <v>0</v>
          </cell>
          <cell r="F700" t="str">
            <v>vb</v>
          </cell>
          <cell r="G700">
            <v>0</v>
          </cell>
          <cell r="H700">
            <v>0</v>
          </cell>
          <cell r="I700" t="str">
            <v>01.015.004.001 - Gesso Corrido - Subsolo</v>
          </cell>
          <cell r="J700" t="str">
            <v>3 - CUSTOS DIRETOS</v>
          </cell>
          <cell r="K700" t="str">
            <v>3 - CUSTOS DIRETOS1.015.004.001</v>
          </cell>
          <cell r="L700">
            <v>0</v>
          </cell>
          <cell r="N700">
            <v>458.84999999999997</v>
          </cell>
          <cell r="O700">
            <v>0</v>
          </cell>
          <cell r="P700">
            <v>0</v>
          </cell>
          <cell r="Q700">
            <v>0</v>
          </cell>
          <cell r="R700">
            <v>458.84999999999997</v>
          </cell>
          <cell r="T700">
            <v>0</v>
          </cell>
          <cell r="U700">
            <v>458.84999999999997</v>
          </cell>
          <cell r="V700">
            <v>-458.84999999999997</v>
          </cell>
        </row>
        <row r="701">
          <cell r="D701" t="str">
            <v>Gesso Corrido - Térreo</v>
          </cell>
          <cell r="E701">
            <v>0</v>
          </cell>
          <cell r="F701" t="str">
            <v>vb</v>
          </cell>
          <cell r="G701">
            <v>0</v>
          </cell>
          <cell r="H701">
            <v>0</v>
          </cell>
          <cell r="I701" t="str">
            <v>01.015.004.002 - Gesso Corrido - Térreo</v>
          </cell>
          <cell r="J701" t="str">
            <v>3 - CUSTOS DIRETOS</v>
          </cell>
          <cell r="K701" t="str">
            <v>3 - CUSTOS DIRETOS1.015.004.002</v>
          </cell>
          <cell r="L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T701">
            <v>0</v>
          </cell>
          <cell r="U701">
            <v>0</v>
          </cell>
          <cell r="V701">
            <v>0</v>
          </cell>
        </row>
        <row r="702">
          <cell r="D702" t="str">
            <v>Gesso Corrido - 1º Pav. Tipo</v>
          </cell>
          <cell r="E702">
            <v>232.64</v>
          </cell>
          <cell r="F702" t="str">
            <v>vb</v>
          </cell>
          <cell r="G702">
            <v>6513.92</v>
          </cell>
          <cell r="H702">
            <v>0</v>
          </cell>
          <cell r="I702" t="str">
            <v>01.015.004.003 - Gesso Corrido - 1º Pav. Tipo</v>
          </cell>
          <cell r="J702" t="str">
            <v>3 - CUSTOS DIRETOS</v>
          </cell>
          <cell r="K702" t="str">
            <v>3 - CUSTOS DIRETOS1.015.004.003</v>
          </cell>
          <cell r="L702">
            <v>6513.92</v>
          </cell>
          <cell r="N702">
            <v>7935.2800000000007</v>
          </cell>
          <cell r="O702">
            <v>0</v>
          </cell>
          <cell r="P702">
            <v>0</v>
          </cell>
          <cell r="Q702">
            <v>0</v>
          </cell>
          <cell r="R702">
            <v>7935.2800000000007</v>
          </cell>
          <cell r="T702">
            <v>0</v>
          </cell>
          <cell r="U702">
            <v>7935.2800000000007</v>
          </cell>
          <cell r="V702">
            <v>-1421.3600000000006</v>
          </cell>
        </row>
        <row r="703">
          <cell r="D703" t="str">
            <v>Gesso Corrido - 2º Pav. Tipo</v>
          </cell>
          <cell r="E703">
            <v>232.64</v>
          </cell>
          <cell r="F703" t="str">
            <v>vb</v>
          </cell>
          <cell r="G703">
            <v>6513.92</v>
          </cell>
          <cell r="H703">
            <v>0</v>
          </cell>
          <cell r="I703" t="str">
            <v>01.015.004.004 - Gesso Corrido - 2º Pav. Tipo</v>
          </cell>
          <cell r="J703" t="str">
            <v>3 - CUSTOS DIRETOS</v>
          </cell>
          <cell r="K703" t="str">
            <v>3 - CUSTOS DIRETOS1.015.004.004</v>
          </cell>
          <cell r="L703">
            <v>6513.92</v>
          </cell>
          <cell r="N703">
            <v>12601.270000000002</v>
          </cell>
          <cell r="O703">
            <v>0</v>
          </cell>
          <cell r="P703">
            <v>0</v>
          </cell>
          <cell r="Q703">
            <v>0</v>
          </cell>
          <cell r="R703">
            <v>12601.270000000002</v>
          </cell>
          <cell r="T703">
            <v>0</v>
          </cell>
          <cell r="U703">
            <v>12601.270000000002</v>
          </cell>
          <cell r="V703">
            <v>-6087.3500000000022</v>
          </cell>
        </row>
        <row r="704">
          <cell r="D704" t="str">
            <v>Gesso Corrido - 3º Pav. Tipo</v>
          </cell>
          <cell r="E704">
            <v>232.64</v>
          </cell>
          <cell r="F704" t="str">
            <v>vb</v>
          </cell>
          <cell r="G704">
            <v>6513.92</v>
          </cell>
          <cell r="H704">
            <v>0</v>
          </cell>
          <cell r="I704" t="str">
            <v>01.015.004.005 - Gesso Corrido - 3º Pav. Tipo</v>
          </cell>
          <cell r="J704" t="str">
            <v>3 - CUSTOS DIRETOS</v>
          </cell>
          <cell r="K704" t="str">
            <v>3 - CUSTOS DIRETOS1.015.004.005</v>
          </cell>
          <cell r="L704">
            <v>6513.92</v>
          </cell>
          <cell r="N704">
            <v>13367.27</v>
          </cell>
          <cell r="O704">
            <v>0</v>
          </cell>
          <cell r="P704">
            <v>0</v>
          </cell>
          <cell r="Q704">
            <v>0</v>
          </cell>
          <cell r="R704">
            <v>13367.27</v>
          </cell>
          <cell r="T704">
            <v>0</v>
          </cell>
          <cell r="U704">
            <v>13367.27</v>
          </cell>
          <cell r="V704">
            <v>-6853.35</v>
          </cell>
        </row>
        <row r="705">
          <cell r="D705" t="str">
            <v>Gesso Corrido - 4º Pav. Tipo</v>
          </cell>
          <cell r="E705">
            <v>232.64</v>
          </cell>
          <cell r="F705" t="str">
            <v>vb</v>
          </cell>
          <cell r="G705">
            <v>6513.92</v>
          </cell>
          <cell r="H705">
            <v>0</v>
          </cell>
          <cell r="I705" t="str">
            <v>01.015.004.006 - Gesso Corrido - 4º Pav. Tipo</v>
          </cell>
          <cell r="J705" t="str">
            <v>3 - CUSTOS DIRETOS</v>
          </cell>
          <cell r="K705" t="str">
            <v>3 - CUSTOS DIRETOS1.015.004.006</v>
          </cell>
          <cell r="L705">
            <v>6513.92</v>
          </cell>
          <cell r="N705">
            <v>16169.529999999999</v>
          </cell>
          <cell r="O705">
            <v>0</v>
          </cell>
          <cell r="P705">
            <v>0</v>
          </cell>
          <cell r="Q705">
            <v>0</v>
          </cell>
          <cell r="R705">
            <v>16169.529999999999</v>
          </cell>
          <cell r="T705">
            <v>0</v>
          </cell>
          <cell r="U705">
            <v>16169.529999999999</v>
          </cell>
          <cell r="V705">
            <v>-9655.6099999999988</v>
          </cell>
        </row>
        <row r="706">
          <cell r="D706" t="str">
            <v>Gesso Corrido - 5º Pav. Tipo</v>
          </cell>
          <cell r="E706">
            <v>232.64</v>
          </cell>
          <cell r="F706" t="str">
            <v>vb</v>
          </cell>
          <cell r="G706">
            <v>6513.92</v>
          </cell>
          <cell r="H706">
            <v>0</v>
          </cell>
          <cell r="I706" t="str">
            <v>01.015.004.007 - Gesso Corrido - 5º Pav. Tipo</v>
          </cell>
          <cell r="J706" t="str">
            <v>3 - CUSTOS DIRETOS</v>
          </cell>
          <cell r="K706" t="str">
            <v>3 - CUSTOS DIRETOS1.015.004.007</v>
          </cell>
          <cell r="L706">
            <v>6513.92</v>
          </cell>
          <cell r="N706">
            <v>11524.41</v>
          </cell>
          <cell r="O706">
            <v>0</v>
          </cell>
          <cell r="P706">
            <v>0</v>
          </cell>
          <cell r="Q706">
            <v>0</v>
          </cell>
          <cell r="R706">
            <v>11524.41</v>
          </cell>
          <cell r="T706">
            <v>0</v>
          </cell>
          <cell r="U706">
            <v>11524.41</v>
          </cell>
          <cell r="V706">
            <v>-5010.49</v>
          </cell>
        </row>
        <row r="707">
          <cell r="D707" t="str">
            <v>Gesso Corrido - 6º Pav. Tipo</v>
          </cell>
          <cell r="E707">
            <v>232.64</v>
          </cell>
          <cell r="F707" t="str">
            <v>vb</v>
          </cell>
          <cell r="G707">
            <v>6513.92</v>
          </cell>
          <cell r="H707">
            <v>0</v>
          </cell>
          <cell r="I707" t="str">
            <v>01.015.004.008 - Gesso Corrido - 6º Pav. Tipo</v>
          </cell>
          <cell r="J707" t="str">
            <v>3 - CUSTOS DIRETOS</v>
          </cell>
          <cell r="K707" t="str">
            <v>3 - CUSTOS DIRETOS1.015.004.008</v>
          </cell>
          <cell r="L707">
            <v>6513.92</v>
          </cell>
          <cell r="N707">
            <v>13065.87</v>
          </cell>
          <cell r="O707">
            <v>0</v>
          </cell>
          <cell r="P707">
            <v>0</v>
          </cell>
          <cell r="Q707">
            <v>0</v>
          </cell>
          <cell r="R707">
            <v>13065.87</v>
          </cell>
          <cell r="T707">
            <v>0</v>
          </cell>
          <cell r="U707">
            <v>13065.87</v>
          </cell>
          <cell r="V707">
            <v>-6551.9500000000007</v>
          </cell>
        </row>
        <row r="708">
          <cell r="D708" t="str">
            <v>Gesso Corrido - 7º Pav. Tipo</v>
          </cell>
          <cell r="E708">
            <v>232.64</v>
          </cell>
          <cell r="F708" t="str">
            <v>vb</v>
          </cell>
          <cell r="G708">
            <v>6513.92</v>
          </cell>
          <cell r="H708">
            <v>0</v>
          </cell>
          <cell r="I708" t="str">
            <v>01.015.004.009 - Gesso Corrido - 7º Pav. Tipo</v>
          </cell>
          <cell r="J708" t="str">
            <v>3 - CUSTOS DIRETOS</v>
          </cell>
          <cell r="K708" t="str">
            <v>3 - CUSTOS DIRETOS1.015.004.009</v>
          </cell>
          <cell r="L708">
            <v>6513.92</v>
          </cell>
          <cell r="N708">
            <v>9586.7300000000014</v>
          </cell>
          <cell r="O708">
            <v>0</v>
          </cell>
          <cell r="P708">
            <v>0</v>
          </cell>
          <cell r="Q708">
            <v>0</v>
          </cell>
          <cell r="R708">
            <v>9586.7300000000014</v>
          </cell>
          <cell r="T708">
            <v>0</v>
          </cell>
          <cell r="U708">
            <v>9586.7300000000014</v>
          </cell>
          <cell r="V708">
            <v>-3072.8100000000013</v>
          </cell>
        </row>
        <row r="709">
          <cell r="D709" t="str">
            <v>Gesso Corrido - 8º Pav. Tipo</v>
          </cell>
          <cell r="E709">
            <v>232.64</v>
          </cell>
          <cell r="F709" t="str">
            <v>vb</v>
          </cell>
          <cell r="G709">
            <v>6513.92</v>
          </cell>
          <cell r="H709">
            <v>0</v>
          </cell>
          <cell r="I709" t="str">
            <v>01.015.004.010 - Gesso Corrido - 8º Pav. Tipo</v>
          </cell>
          <cell r="J709" t="str">
            <v>3 - CUSTOS DIRETOS</v>
          </cell>
          <cell r="K709" t="str">
            <v>3 - CUSTOS DIRETOS1.015.004.010</v>
          </cell>
          <cell r="L709">
            <v>6513.92</v>
          </cell>
          <cell r="N709">
            <v>11467.350000000002</v>
          </cell>
          <cell r="O709">
            <v>0</v>
          </cell>
          <cell r="P709">
            <v>0</v>
          </cell>
          <cell r="Q709">
            <v>0</v>
          </cell>
          <cell r="R709">
            <v>11467.350000000002</v>
          </cell>
          <cell r="T709">
            <v>0</v>
          </cell>
          <cell r="U709">
            <v>11467.350000000002</v>
          </cell>
          <cell r="V709">
            <v>-4953.4300000000021</v>
          </cell>
        </row>
        <row r="710">
          <cell r="D710" t="str">
            <v>Gesso Corrido - 9º Pav. Tipo</v>
          </cell>
          <cell r="E710">
            <v>232.64</v>
          </cell>
          <cell r="F710" t="str">
            <v>vb</v>
          </cell>
          <cell r="G710">
            <v>6513.92</v>
          </cell>
          <cell r="H710">
            <v>0</v>
          </cell>
          <cell r="I710" t="str">
            <v>01.015.004.011 - Gesso Corrido - 9º Pav. Tipo</v>
          </cell>
          <cell r="J710" t="str">
            <v>3 - CUSTOS DIRETOS</v>
          </cell>
          <cell r="K710" t="str">
            <v>3 - CUSTOS DIRETOS1.015.004.011</v>
          </cell>
          <cell r="L710">
            <v>6513.92</v>
          </cell>
          <cell r="N710">
            <v>10988.300000000001</v>
          </cell>
          <cell r="O710">
            <v>0</v>
          </cell>
          <cell r="P710">
            <v>0</v>
          </cell>
          <cell r="Q710">
            <v>0</v>
          </cell>
          <cell r="R710">
            <v>10988.300000000001</v>
          </cell>
          <cell r="T710">
            <v>0</v>
          </cell>
          <cell r="U710">
            <v>10988.300000000001</v>
          </cell>
          <cell r="V710">
            <v>-4474.380000000001</v>
          </cell>
        </row>
        <row r="711">
          <cell r="D711" t="str">
            <v>Gesso Corrido - 10º Pav. Tipo</v>
          </cell>
          <cell r="E711">
            <v>232.64</v>
          </cell>
          <cell r="F711" t="str">
            <v>vb</v>
          </cell>
          <cell r="G711">
            <v>6513.92</v>
          </cell>
          <cell r="H711">
            <v>0</v>
          </cell>
          <cell r="I711" t="str">
            <v>01.015.004.012 - Gesso Corrido - 10º Pav. Tipo</v>
          </cell>
          <cell r="J711" t="str">
            <v>3 - CUSTOS DIRETOS</v>
          </cell>
          <cell r="K711" t="str">
            <v>3 - CUSTOS DIRETOS1.015.004.012</v>
          </cell>
          <cell r="L711">
            <v>6513.92</v>
          </cell>
          <cell r="N711">
            <v>26916.21</v>
          </cell>
          <cell r="O711">
            <v>0</v>
          </cell>
          <cell r="P711">
            <v>0</v>
          </cell>
          <cell r="Q711">
            <v>0</v>
          </cell>
          <cell r="R711">
            <v>26916.21</v>
          </cell>
          <cell r="T711">
            <v>0</v>
          </cell>
          <cell r="U711">
            <v>26916.21</v>
          </cell>
          <cell r="V711">
            <v>-20402.29</v>
          </cell>
        </row>
        <row r="712">
          <cell r="D712" t="str">
            <v>Gesso Corrido - 11º Pav. Tipo</v>
          </cell>
          <cell r="E712">
            <v>232.64</v>
          </cell>
          <cell r="F712" t="str">
            <v>vb</v>
          </cell>
          <cell r="G712">
            <v>6513.92</v>
          </cell>
          <cell r="H712">
            <v>0</v>
          </cell>
          <cell r="I712" t="str">
            <v>01.015.004.013 - Gesso Corrido - 11º Pav. Tipo</v>
          </cell>
          <cell r="J712" t="str">
            <v>3 - CUSTOS DIRETOS</v>
          </cell>
          <cell r="K712" t="str">
            <v>3 - CUSTOS DIRETOS1.015.004.013</v>
          </cell>
          <cell r="L712">
            <v>6513.92</v>
          </cell>
          <cell r="N712">
            <v>19029.999999999996</v>
          </cell>
          <cell r="O712">
            <v>0</v>
          </cell>
          <cell r="P712">
            <v>0</v>
          </cell>
          <cell r="Q712">
            <v>0</v>
          </cell>
          <cell r="R712">
            <v>19029.999999999996</v>
          </cell>
          <cell r="T712">
            <v>0</v>
          </cell>
          <cell r="U712">
            <v>19029.999999999996</v>
          </cell>
          <cell r="V712">
            <v>-12516.079999999996</v>
          </cell>
        </row>
        <row r="713">
          <cell r="D713" t="str">
            <v>Gesso Corrido - 12º Pav. Tipo</v>
          </cell>
          <cell r="E713">
            <v>232.64</v>
          </cell>
          <cell r="F713" t="str">
            <v>vb</v>
          </cell>
          <cell r="G713">
            <v>6513.92</v>
          </cell>
          <cell r="H713">
            <v>0</v>
          </cell>
          <cell r="I713" t="str">
            <v>01.015.004.014 - Gesso Corrido - 12º Pav. Tipo</v>
          </cell>
          <cell r="J713" t="str">
            <v>3 - CUSTOS DIRETOS</v>
          </cell>
          <cell r="K713" t="str">
            <v>3 - CUSTOS DIRETOS1.015.004.014</v>
          </cell>
          <cell r="L713">
            <v>6513.92</v>
          </cell>
          <cell r="N713">
            <v>12484.06</v>
          </cell>
          <cell r="O713">
            <v>0</v>
          </cell>
          <cell r="P713">
            <v>0</v>
          </cell>
          <cell r="Q713">
            <v>0</v>
          </cell>
          <cell r="R713">
            <v>12484.06</v>
          </cell>
          <cell r="T713">
            <v>0</v>
          </cell>
          <cell r="U713">
            <v>12484.06</v>
          </cell>
          <cell r="V713">
            <v>-5970.1399999999994</v>
          </cell>
        </row>
        <row r="714">
          <cell r="D714" t="str">
            <v>Gesso Corrido - 13º Pav. Tipo</v>
          </cell>
          <cell r="E714">
            <v>232.64</v>
          </cell>
          <cell r="F714" t="str">
            <v>vb</v>
          </cell>
          <cell r="G714">
            <v>6513.92</v>
          </cell>
          <cell r="H714">
            <v>0</v>
          </cell>
          <cell r="I714" t="str">
            <v>01.015.004.015 - Gesso Corrido - 13º Pav. Tipo</v>
          </cell>
          <cell r="J714" t="str">
            <v>3 - CUSTOS DIRETOS</v>
          </cell>
          <cell r="K714" t="str">
            <v>3 - CUSTOS DIRETOS1.015.004.015</v>
          </cell>
          <cell r="L714">
            <v>6513.92</v>
          </cell>
          <cell r="N714">
            <v>7145.64</v>
          </cell>
          <cell r="O714">
            <v>0</v>
          </cell>
          <cell r="P714">
            <v>0</v>
          </cell>
          <cell r="Q714">
            <v>0</v>
          </cell>
          <cell r="R714">
            <v>7145.64</v>
          </cell>
          <cell r="T714">
            <v>0</v>
          </cell>
          <cell r="U714">
            <v>7145.64</v>
          </cell>
          <cell r="V714">
            <v>-631.72000000000025</v>
          </cell>
        </row>
        <row r="715">
          <cell r="D715" t="str">
            <v>Gesso Corrido - 14º Pav. Tipo</v>
          </cell>
          <cell r="E715">
            <v>232.64</v>
          </cell>
          <cell r="F715" t="str">
            <v>vb</v>
          </cell>
          <cell r="G715">
            <v>6513.92</v>
          </cell>
          <cell r="H715">
            <v>0</v>
          </cell>
          <cell r="I715" t="str">
            <v>01.015.004.016 - Gesso Corrido - 14º Pav. Tipo</v>
          </cell>
          <cell r="J715" t="str">
            <v>3 - CUSTOS DIRETOS</v>
          </cell>
          <cell r="K715" t="str">
            <v>3 - CUSTOS DIRETOS1.015.004.016</v>
          </cell>
          <cell r="L715">
            <v>6513.92</v>
          </cell>
          <cell r="N715">
            <v>5603.6699999999992</v>
          </cell>
          <cell r="O715">
            <v>0</v>
          </cell>
          <cell r="P715">
            <v>0</v>
          </cell>
          <cell r="Q715">
            <v>0</v>
          </cell>
          <cell r="R715">
            <v>5603.6699999999992</v>
          </cell>
          <cell r="T715">
            <v>0</v>
          </cell>
          <cell r="U715">
            <v>5603.6699999999992</v>
          </cell>
          <cell r="V715">
            <v>910.25000000000091</v>
          </cell>
        </row>
        <row r="716">
          <cell r="D716" t="str">
            <v>Gesso Corrido - 15º Pav. Tipo</v>
          </cell>
          <cell r="E716">
            <v>232.64</v>
          </cell>
          <cell r="F716" t="str">
            <v>vb</v>
          </cell>
          <cell r="G716">
            <v>6513.92</v>
          </cell>
          <cell r="H716">
            <v>0</v>
          </cell>
          <cell r="I716" t="str">
            <v>01.015.004.017 - Gesso Corrido - 15º Pav. Tipo</v>
          </cell>
          <cell r="J716" t="str">
            <v>3 - CUSTOS DIRETOS</v>
          </cell>
          <cell r="K716" t="str">
            <v>3 - CUSTOS DIRETOS1.015.004.017</v>
          </cell>
          <cell r="L716">
            <v>6513.92</v>
          </cell>
          <cell r="N716">
            <v>15666.43</v>
          </cell>
          <cell r="O716">
            <v>0</v>
          </cell>
          <cell r="P716">
            <v>0</v>
          </cell>
          <cell r="Q716">
            <v>0</v>
          </cell>
          <cell r="R716">
            <v>15666.43</v>
          </cell>
          <cell r="T716">
            <v>0</v>
          </cell>
          <cell r="U716">
            <v>15666.43</v>
          </cell>
          <cell r="V716">
            <v>-9152.51</v>
          </cell>
        </row>
        <row r="717">
          <cell r="D717" t="str">
            <v>Gesso Corrido - Cobertura</v>
          </cell>
          <cell r="E717">
            <v>0</v>
          </cell>
          <cell r="F717" t="str">
            <v>vb</v>
          </cell>
          <cell r="G717">
            <v>0</v>
          </cell>
          <cell r="H717">
            <v>0</v>
          </cell>
          <cell r="I717" t="str">
            <v>01.015.004.018 - Gesso Corrido - Cobertura</v>
          </cell>
          <cell r="J717" t="str">
            <v>3 - CUSTOS DIRETOS</v>
          </cell>
          <cell r="K717" t="str">
            <v>3 - CUSTOS DIRETOS1.015.004.018</v>
          </cell>
          <cell r="L717">
            <v>0</v>
          </cell>
          <cell r="N717">
            <v>-1740.3300000000002</v>
          </cell>
          <cell r="O717">
            <v>0</v>
          </cell>
          <cell r="P717">
            <v>0</v>
          </cell>
          <cell r="Q717">
            <v>0</v>
          </cell>
          <cell r="R717">
            <v>-1740.3300000000002</v>
          </cell>
          <cell r="T717">
            <v>0</v>
          </cell>
          <cell r="U717">
            <v>-1740.3300000000002</v>
          </cell>
          <cell r="V717">
            <v>1740.3300000000002</v>
          </cell>
        </row>
        <row r="718">
          <cell r="D718" t="str">
            <v>MASSA PVA SOBRE O FORRO</v>
          </cell>
          <cell r="I718" t="str">
            <v>01.015.005 - MASSA PVA SOBRE O FORRO</v>
          </cell>
          <cell r="J718" t="str">
            <v>3 - CUSTOS DIRETOS</v>
          </cell>
          <cell r="K718" t="str">
            <v>3 - CUSTOS DIRETOS1.015.005</v>
          </cell>
          <cell r="L718">
            <v>62900.900000000023</v>
          </cell>
          <cell r="N718">
            <v>1548.38</v>
          </cell>
          <cell r="O718">
            <v>0</v>
          </cell>
          <cell r="P718">
            <v>0</v>
          </cell>
          <cell r="Q718">
            <v>0</v>
          </cell>
          <cell r="R718">
            <v>1548.38</v>
          </cell>
          <cell r="T718">
            <v>3062.45</v>
          </cell>
          <cell r="U718">
            <v>4610.83</v>
          </cell>
          <cell r="V718">
            <v>58290.070000000022</v>
          </cell>
        </row>
        <row r="719">
          <cell r="D719" t="str">
            <v>Massa Pva Sobre Forro - Subsolo</v>
          </cell>
          <cell r="E719">
            <v>0</v>
          </cell>
          <cell r="F719" t="str">
            <v>vb</v>
          </cell>
          <cell r="G719">
            <v>0</v>
          </cell>
          <cell r="H719">
            <v>0</v>
          </cell>
          <cell r="I719" t="str">
            <v>01.015.005.001 - Massa Pva Sobre Forro - Subsolo</v>
          </cell>
          <cell r="J719" t="str">
            <v>3 - CUSTOS DIRETOS</v>
          </cell>
          <cell r="K719" t="str">
            <v>3 - CUSTOS DIRETOS1.015.005.001</v>
          </cell>
          <cell r="L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T719">
            <v>0</v>
          </cell>
          <cell r="U719">
            <v>0</v>
          </cell>
          <cell r="V719">
            <v>0</v>
          </cell>
        </row>
        <row r="720">
          <cell r="D720" t="str">
            <v>Massa Pva Sobre Forro - Térreo</v>
          </cell>
          <cell r="E720">
            <v>266.3</v>
          </cell>
          <cell r="F720" t="str">
            <v>vb</v>
          </cell>
          <cell r="G720">
            <v>3062.45</v>
          </cell>
          <cell r="H720">
            <v>0</v>
          </cell>
          <cell r="I720" t="str">
            <v>01.015.005.002 - Massa Pva Sobre Forro - Térreo</v>
          </cell>
          <cell r="J720" t="str">
            <v>3 - CUSTOS DIRETOS</v>
          </cell>
          <cell r="K720" t="str">
            <v>3 - CUSTOS DIRETOS1.015.005.002</v>
          </cell>
          <cell r="L720">
            <v>3062.45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T720">
            <v>3062.45</v>
          </cell>
          <cell r="U720">
            <v>3062.45</v>
          </cell>
          <cell r="V720">
            <v>0</v>
          </cell>
        </row>
        <row r="721">
          <cell r="D721" t="str">
            <v>Massa Pva Sobre Forro - 1º Pav. Tipo</v>
          </cell>
          <cell r="E721">
            <v>346.89</v>
          </cell>
          <cell r="F721" t="str">
            <v>vb</v>
          </cell>
          <cell r="G721">
            <v>3989.23</v>
          </cell>
          <cell r="H721">
            <v>0</v>
          </cell>
          <cell r="I721" t="str">
            <v>01.015.005.003 - Massa Pva Sobre Forro - 1º Pav. Tipo</v>
          </cell>
          <cell r="J721" t="str">
            <v>3 - CUSTOS DIRETOS</v>
          </cell>
          <cell r="K721" t="str">
            <v>3 - CUSTOS DIRETOS1.015.005.003</v>
          </cell>
          <cell r="L721">
            <v>3989.23</v>
          </cell>
          <cell r="N721">
            <v>1548.38</v>
          </cell>
          <cell r="O721">
            <v>0</v>
          </cell>
          <cell r="P721">
            <v>0</v>
          </cell>
          <cell r="Q721">
            <v>0</v>
          </cell>
          <cell r="R721">
            <v>1548.38</v>
          </cell>
          <cell r="T721">
            <v>0</v>
          </cell>
          <cell r="U721">
            <v>1548.38</v>
          </cell>
          <cell r="V721">
            <v>2440.85</v>
          </cell>
        </row>
        <row r="722">
          <cell r="D722" t="str">
            <v>Massa Pva Sobre Forro - 2º Pav. Tipo</v>
          </cell>
          <cell r="E722">
            <v>346.89</v>
          </cell>
          <cell r="F722" t="str">
            <v>vb</v>
          </cell>
          <cell r="G722">
            <v>3989.23</v>
          </cell>
          <cell r="H722">
            <v>0</v>
          </cell>
          <cell r="I722" t="str">
            <v>01.015.005.004 - Massa Pva Sobre Forro - 2º Pav. Tipo</v>
          </cell>
          <cell r="J722" t="str">
            <v>3 - CUSTOS DIRETOS</v>
          </cell>
          <cell r="K722" t="str">
            <v>3 - CUSTOS DIRETOS1.015.005.004</v>
          </cell>
          <cell r="L722">
            <v>3989.23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T722">
            <v>0</v>
          </cell>
          <cell r="U722">
            <v>0</v>
          </cell>
          <cell r="V722">
            <v>3989.23</v>
          </cell>
        </row>
        <row r="723">
          <cell r="D723" t="str">
            <v>Massa Pva Sobre Forro - 3º Pav. Tipo</v>
          </cell>
          <cell r="E723">
            <v>346.89</v>
          </cell>
          <cell r="F723" t="str">
            <v>vb</v>
          </cell>
          <cell r="G723">
            <v>3989.23</v>
          </cell>
          <cell r="H723">
            <v>0</v>
          </cell>
          <cell r="I723" t="str">
            <v>01.015.005.005 - Massa Pva Sobre Forro - 3º Pav. Tipo</v>
          </cell>
          <cell r="J723" t="str">
            <v>3 - CUSTOS DIRETOS</v>
          </cell>
          <cell r="K723" t="str">
            <v>3 - CUSTOS DIRETOS1.015.005.005</v>
          </cell>
          <cell r="L723">
            <v>3989.23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T723">
            <v>0</v>
          </cell>
          <cell r="U723">
            <v>0</v>
          </cell>
          <cell r="V723">
            <v>3989.23</v>
          </cell>
        </row>
        <row r="724">
          <cell r="D724" t="str">
            <v>Massa Pva Sobre Forro - 4º Pav. Tipo</v>
          </cell>
          <cell r="E724">
            <v>346.89</v>
          </cell>
          <cell r="F724" t="str">
            <v>vb</v>
          </cell>
          <cell r="G724">
            <v>3989.23</v>
          </cell>
          <cell r="H724">
            <v>0</v>
          </cell>
          <cell r="I724" t="str">
            <v>01.015.005.006 - Massa Pva Sobre Forro - 4º Pav. Tipo</v>
          </cell>
          <cell r="J724" t="str">
            <v>3 - CUSTOS DIRETOS</v>
          </cell>
          <cell r="K724" t="str">
            <v>3 - CUSTOS DIRETOS1.015.005.006</v>
          </cell>
          <cell r="L724">
            <v>3989.23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T724">
            <v>0</v>
          </cell>
          <cell r="U724">
            <v>0</v>
          </cell>
          <cell r="V724">
            <v>3989.23</v>
          </cell>
        </row>
        <row r="725">
          <cell r="D725" t="str">
            <v>Massa Pva Sobre Forro - 5º Pav. Tipo</v>
          </cell>
          <cell r="E725">
            <v>346.89</v>
          </cell>
          <cell r="F725" t="str">
            <v>vb</v>
          </cell>
          <cell r="G725">
            <v>3989.23</v>
          </cell>
          <cell r="H725">
            <v>0</v>
          </cell>
          <cell r="I725" t="str">
            <v>01.015.005.007 - Massa Pva Sobre Forro - 5º Pav. Tipo</v>
          </cell>
          <cell r="J725" t="str">
            <v>3 - CUSTOS DIRETOS</v>
          </cell>
          <cell r="K725" t="str">
            <v>3 - CUSTOS DIRETOS1.015.005.007</v>
          </cell>
          <cell r="L725">
            <v>3989.23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T725">
            <v>0</v>
          </cell>
          <cell r="U725">
            <v>0</v>
          </cell>
          <cell r="V725">
            <v>3989.23</v>
          </cell>
        </row>
        <row r="726">
          <cell r="D726" t="str">
            <v>Massa Pva Sobre Forro - 6º Pav. Tipo</v>
          </cell>
          <cell r="E726">
            <v>346.89</v>
          </cell>
          <cell r="F726" t="str">
            <v>vb</v>
          </cell>
          <cell r="G726">
            <v>3989.23</v>
          </cell>
          <cell r="H726">
            <v>0</v>
          </cell>
          <cell r="I726" t="str">
            <v>01.015.005.008 - Massa Pva Sobre Forro - 6º Pav. Tipo</v>
          </cell>
          <cell r="J726" t="str">
            <v>3 - CUSTOS DIRETOS</v>
          </cell>
          <cell r="K726" t="str">
            <v>3 - CUSTOS DIRETOS1.015.005.008</v>
          </cell>
          <cell r="L726">
            <v>3989.23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T726">
            <v>0</v>
          </cell>
          <cell r="U726">
            <v>0</v>
          </cell>
          <cell r="V726">
            <v>3989.23</v>
          </cell>
        </row>
        <row r="727">
          <cell r="D727" t="str">
            <v>Massa Pva Sobre Forro - 7º Pav. Tipo</v>
          </cell>
          <cell r="E727">
            <v>346.89</v>
          </cell>
          <cell r="F727" t="str">
            <v>vb</v>
          </cell>
          <cell r="G727">
            <v>3989.23</v>
          </cell>
          <cell r="H727">
            <v>0</v>
          </cell>
          <cell r="I727" t="str">
            <v>01.015.005.009 - Massa Pva Sobre Forro - 7º Pav. Tipo</v>
          </cell>
          <cell r="J727" t="str">
            <v>3 - CUSTOS DIRETOS</v>
          </cell>
          <cell r="K727" t="str">
            <v>3 - CUSTOS DIRETOS1.015.005.009</v>
          </cell>
          <cell r="L727">
            <v>3989.23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T727">
            <v>0</v>
          </cell>
          <cell r="U727">
            <v>0</v>
          </cell>
          <cell r="V727">
            <v>3989.23</v>
          </cell>
        </row>
        <row r="728">
          <cell r="D728" t="str">
            <v>Massa Pva Sobre Forro - 8º Pav. Tipo</v>
          </cell>
          <cell r="E728">
            <v>346.89</v>
          </cell>
          <cell r="F728" t="str">
            <v>vb</v>
          </cell>
          <cell r="G728">
            <v>3989.23</v>
          </cell>
          <cell r="H728">
            <v>0</v>
          </cell>
          <cell r="I728" t="str">
            <v>01.015.005.010 - Massa Pva Sobre Forro - 8º Pav. Tipo</v>
          </cell>
          <cell r="J728" t="str">
            <v>3 - CUSTOS DIRETOS</v>
          </cell>
          <cell r="K728" t="str">
            <v>3 - CUSTOS DIRETOS1.015.005.010</v>
          </cell>
          <cell r="L728">
            <v>3989.23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T728">
            <v>0</v>
          </cell>
          <cell r="U728">
            <v>0</v>
          </cell>
          <cell r="V728">
            <v>3989.23</v>
          </cell>
        </row>
        <row r="729">
          <cell r="D729" t="str">
            <v>Massa Pva Sobre Forro - 9º Pav. Tipo</v>
          </cell>
          <cell r="E729">
            <v>346.89</v>
          </cell>
          <cell r="F729" t="str">
            <v>vb</v>
          </cell>
          <cell r="G729">
            <v>3989.23</v>
          </cell>
          <cell r="H729">
            <v>0</v>
          </cell>
          <cell r="I729" t="str">
            <v>01.015.005.011 - Massa Pva Sobre Forro - 9º Pav. Tipo</v>
          </cell>
          <cell r="J729" t="str">
            <v>3 - CUSTOS DIRETOS</v>
          </cell>
          <cell r="K729" t="str">
            <v>3 - CUSTOS DIRETOS1.015.005.011</v>
          </cell>
          <cell r="L729">
            <v>3989.23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T729">
            <v>0</v>
          </cell>
          <cell r="U729">
            <v>0</v>
          </cell>
          <cell r="V729">
            <v>3989.23</v>
          </cell>
        </row>
        <row r="730">
          <cell r="D730" t="str">
            <v>Massa Pva Sobre Forro - 10º Pav. Tipo</v>
          </cell>
          <cell r="E730">
            <v>346.89</v>
          </cell>
          <cell r="F730" t="str">
            <v>vb</v>
          </cell>
          <cell r="G730">
            <v>3989.23</v>
          </cell>
          <cell r="H730">
            <v>0</v>
          </cell>
          <cell r="I730" t="str">
            <v>01.015.005.012 - Massa Pva Sobre Forro - 10º Pav. Tipo</v>
          </cell>
          <cell r="J730" t="str">
            <v>3 - CUSTOS DIRETOS</v>
          </cell>
          <cell r="K730" t="str">
            <v>3 - CUSTOS DIRETOS1.015.005.012</v>
          </cell>
          <cell r="L730">
            <v>3989.23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T730">
            <v>0</v>
          </cell>
          <cell r="U730">
            <v>0</v>
          </cell>
          <cell r="V730">
            <v>3989.23</v>
          </cell>
        </row>
        <row r="731">
          <cell r="D731" t="str">
            <v>Massa Pva Sobre Forro - 11º Pav. Tipo</v>
          </cell>
          <cell r="E731">
            <v>346.89</v>
          </cell>
          <cell r="F731" t="str">
            <v>vb</v>
          </cell>
          <cell r="G731">
            <v>3989.23</v>
          </cell>
          <cell r="H731">
            <v>0</v>
          </cell>
          <cell r="I731" t="str">
            <v>01.015.005.013 - Massa Pva Sobre Forro - 11º Pav. Tipo</v>
          </cell>
          <cell r="J731" t="str">
            <v>3 - CUSTOS DIRETOS</v>
          </cell>
          <cell r="K731" t="str">
            <v>3 - CUSTOS DIRETOS1.015.005.013</v>
          </cell>
          <cell r="L731">
            <v>3989.23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T731">
            <v>0</v>
          </cell>
          <cell r="U731">
            <v>0</v>
          </cell>
          <cell r="V731">
            <v>3989.23</v>
          </cell>
        </row>
        <row r="732">
          <cell r="D732" t="str">
            <v>Massa Pva Sobre Forro - 12º Pav. Tipo</v>
          </cell>
          <cell r="E732">
            <v>346.89</v>
          </cell>
          <cell r="F732" t="str">
            <v>vb</v>
          </cell>
          <cell r="G732">
            <v>3989.23</v>
          </cell>
          <cell r="H732">
            <v>0</v>
          </cell>
          <cell r="I732" t="str">
            <v>01.015.005.014 - Massa Pva Sobre Forro - 12º Pav. Tipo</v>
          </cell>
          <cell r="J732" t="str">
            <v>3 - CUSTOS DIRETOS</v>
          </cell>
          <cell r="K732" t="str">
            <v>3 - CUSTOS DIRETOS1.015.005.014</v>
          </cell>
          <cell r="L732">
            <v>3989.23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T732">
            <v>0</v>
          </cell>
          <cell r="U732">
            <v>0</v>
          </cell>
          <cell r="V732">
            <v>3989.23</v>
          </cell>
        </row>
        <row r="733">
          <cell r="D733" t="str">
            <v>Massa Pva Sobre Forro - 13º Pav. Tipo</v>
          </cell>
          <cell r="E733">
            <v>346.89</v>
          </cell>
          <cell r="F733" t="str">
            <v>vb</v>
          </cell>
          <cell r="G733">
            <v>3989.23</v>
          </cell>
          <cell r="H733">
            <v>0</v>
          </cell>
          <cell r="I733" t="str">
            <v>01.015.005.015 - Massa Pva Sobre Forro - 13º Pav. Tipo</v>
          </cell>
          <cell r="J733" t="str">
            <v>3 - CUSTOS DIRETOS</v>
          </cell>
          <cell r="K733" t="str">
            <v>3 - CUSTOS DIRETOS1.015.005.015</v>
          </cell>
          <cell r="L733">
            <v>3989.23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T733">
            <v>0</v>
          </cell>
          <cell r="U733">
            <v>0</v>
          </cell>
          <cell r="V733">
            <v>3989.23</v>
          </cell>
        </row>
        <row r="734">
          <cell r="D734" t="str">
            <v>Massa Pva Sobre Forro - 14º Pav. Tipo</v>
          </cell>
          <cell r="E734">
            <v>346.89</v>
          </cell>
          <cell r="F734" t="str">
            <v>vb</v>
          </cell>
          <cell r="G734">
            <v>3989.23</v>
          </cell>
          <cell r="H734">
            <v>0</v>
          </cell>
          <cell r="I734" t="str">
            <v>01.015.005.016 - Massa Pva Sobre Forro - 14º Pav. Tipo</v>
          </cell>
          <cell r="J734" t="str">
            <v>3 - CUSTOS DIRETOS</v>
          </cell>
          <cell r="K734" t="str">
            <v>3 - CUSTOS DIRETOS1.015.005.016</v>
          </cell>
          <cell r="L734">
            <v>3989.23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T734">
            <v>0</v>
          </cell>
          <cell r="U734">
            <v>0</v>
          </cell>
          <cell r="V734">
            <v>3989.23</v>
          </cell>
        </row>
        <row r="735">
          <cell r="D735" t="str">
            <v>Massa Pva Sobre Forro - 15º Pav. Tipo</v>
          </cell>
          <cell r="E735">
            <v>346.89</v>
          </cell>
          <cell r="F735" t="str">
            <v>vb</v>
          </cell>
          <cell r="G735">
            <v>3989.23</v>
          </cell>
          <cell r="H735">
            <v>0</v>
          </cell>
          <cell r="I735" t="str">
            <v>01.015.005.017 - Massa Pva Sobre Forro - 15º Pav. Tipo</v>
          </cell>
          <cell r="J735" t="str">
            <v>3 - CUSTOS DIRETOS</v>
          </cell>
          <cell r="K735" t="str">
            <v>3 - CUSTOS DIRETOS1.015.005.017</v>
          </cell>
          <cell r="L735">
            <v>3989.23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T735">
            <v>0</v>
          </cell>
          <cell r="U735">
            <v>0</v>
          </cell>
          <cell r="V735">
            <v>3989.23</v>
          </cell>
        </row>
        <row r="736">
          <cell r="D736" t="str">
            <v>Massa Pva Sobre Forro - Cobertura</v>
          </cell>
          <cell r="E736">
            <v>0</v>
          </cell>
          <cell r="F736" t="str">
            <v>vb</v>
          </cell>
          <cell r="G736">
            <v>0</v>
          </cell>
          <cell r="H736">
            <v>0</v>
          </cell>
          <cell r="I736" t="str">
            <v>01.015.005.018 - Massa Pva Sobre Forro - Cobertura</v>
          </cell>
          <cell r="J736" t="str">
            <v>3 - CUSTOS DIRETOS</v>
          </cell>
          <cell r="K736" t="str">
            <v>3 - CUSTOS DIRETOS1.015.005.018</v>
          </cell>
          <cell r="L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T736">
            <v>0</v>
          </cell>
          <cell r="U736">
            <v>0</v>
          </cell>
          <cell r="V736">
            <v>0</v>
          </cell>
        </row>
        <row r="737">
          <cell r="D737" t="str">
            <v>PINTURA SOBRE MASSA EM FORRO</v>
          </cell>
          <cell r="I737" t="str">
            <v>01.015.006 - PINTURA SOBRE MASSA EM FORRO</v>
          </cell>
          <cell r="J737" t="str">
            <v>3 - CUSTOS DIRETOS</v>
          </cell>
          <cell r="K737" t="str">
            <v>3 - CUSTOS DIRETOS1.015.006</v>
          </cell>
          <cell r="L737">
            <v>101552.20999999999</v>
          </cell>
          <cell r="N737">
            <v>59346.819999999992</v>
          </cell>
          <cell r="O737">
            <v>3121.4399999999991</v>
          </cell>
          <cell r="P737">
            <v>20168.5</v>
          </cell>
          <cell r="Q737">
            <v>3317.4</v>
          </cell>
          <cell r="R737">
            <v>85954.159999999989</v>
          </cell>
          <cell r="T737">
            <v>0</v>
          </cell>
          <cell r="U737">
            <v>85954.159999999989</v>
          </cell>
          <cell r="V737">
            <v>15598.050000000003</v>
          </cell>
        </row>
        <row r="738">
          <cell r="D738" t="str">
            <v>Pintura Sobre Massa Em Forro - Subsolo</v>
          </cell>
          <cell r="E738">
            <v>0</v>
          </cell>
          <cell r="F738" t="str">
            <v>vb</v>
          </cell>
          <cell r="G738">
            <v>0</v>
          </cell>
          <cell r="H738">
            <v>0</v>
          </cell>
          <cell r="I738" t="str">
            <v>01.015.006.001 - Pintura Sobre Massa Em Forro - Subsolo</v>
          </cell>
          <cell r="J738" t="str">
            <v>3 - CUSTOS DIRETOS</v>
          </cell>
          <cell r="K738" t="str">
            <v>3 - CUSTOS DIRETOS1.015.006.001</v>
          </cell>
          <cell r="L738">
            <v>0</v>
          </cell>
          <cell r="N738">
            <v>900</v>
          </cell>
          <cell r="O738">
            <v>0</v>
          </cell>
          <cell r="P738">
            <v>0</v>
          </cell>
          <cell r="Q738">
            <v>0</v>
          </cell>
          <cell r="R738">
            <v>900</v>
          </cell>
          <cell r="T738">
            <v>0</v>
          </cell>
          <cell r="U738">
            <v>900</v>
          </cell>
          <cell r="V738">
            <v>-900</v>
          </cell>
        </row>
        <row r="739">
          <cell r="D739" t="str">
            <v>Pintura Sobre Massa Em Forro - Térreo</v>
          </cell>
          <cell r="E739">
            <v>266.3</v>
          </cell>
          <cell r="F739" t="str">
            <v>vb</v>
          </cell>
          <cell r="G739">
            <v>4944.26</v>
          </cell>
          <cell r="H739">
            <v>0</v>
          </cell>
          <cell r="I739" t="str">
            <v>01.015.006.002 - Pintura Sobre Massa Em Forro - Térreo</v>
          </cell>
          <cell r="J739" t="str">
            <v>3 - CUSTOS DIRETOS</v>
          </cell>
          <cell r="K739" t="str">
            <v>3 - CUSTOS DIRETOS1.015.006.002</v>
          </cell>
          <cell r="L739">
            <v>4944.26</v>
          </cell>
          <cell r="N739">
            <v>1881.86</v>
          </cell>
          <cell r="O739">
            <v>195.72</v>
          </cell>
          <cell r="P739">
            <v>4608.99</v>
          </cell>
          <cell r="Q739">
            <v>0</v>
          </cell>
          <cell r="R739">
            <v>6686.57</v>
          </cell>
          <cell r="T739">
            <v>0</v>
          </cell>
          <cell r="U739">
            <v>6686.57</v>
          </cell>
          <cell r="V739">
            <v>-1742.3099999999995</v>
          </cell>
        </row>
        <row r="740">
          <cell r="D740" t="str">
            <v>Pintura Sobre Massa Em Forro - 1º Pav. Tipo</v>
          </cell>
          <cell r="E740">
            <v>346.89</v>
          </cell>
          <cell r="F740" t="str">
            <v>vb</v>
          </cell>
          <cell r="G740">
            <v>6440.53</v>
          </cell>
          <cell r="H740">
            <v>0</v>
          </cell>
          <cell r="I740" t="str">
            <v>01.015.006.003 - Pintura Sobre Massa Em Forro - 1º Pav. Tipo</v>
          </cell>
          <cell r="J740" t="str">
            <v>3 - CUSTOS DIRETOS</v>
          </cell>
          <cell r="K740" t="str">
            <v>3 - CUSTOS DIRETOS1.015.006.003</v>
          </cell>
          <cell r="L740">
            <v>6440.53</v>
          </cell>
          <cell r="N740">
            <v>4082.08</v>
          </cell>
          <cell r="O740">
            <v>195.72</v>
          </cell>
          <cell r="P740">
            <v>2232.14</v>
          </cell>
          <cell r="Q740">
            <v>0</v>
          </cell>
          <cell r="R740">
            <v>6509.9400000000005</v>
          </cell>
          <cell r="T740">
            <v>0</v>
          </cell>
          <cell r="U740">
            <v>6509.9400000000005</v>
          </cell>
          <cell r="V740">
            <v>-69.410000000000764</v>
          </cell>
        </row>
        <row r="741">
          <cell r="D741" t="str">
            <v>Pintura Sobre Massa Em Forro - 2º Pav. Tipo</v>
          </cell>
          <cell r="E741">
            <v>346.89</v>
          </cell>
          <cell r="F741" t="str">
            <v>vb</v>
          </cell>
          <cell r="G741">
            <v>6440.53</v>
          </cell>
          <cell r="H741">
            <v>0</v>
          </cell>
          <cell r="I741" t="str">
            <v>01.015.006.004 - Pintura Sobre Massa Em Forro - 2º Pav. Tipo</v>
          </cell>
          <cell r="J741" t="str">
            <v>3 - CUSTOS DIRETOS</v>
          </cell>
          <cell r="K741" t="str">
            <v>3 - CUSTOS DIRETOS1.015.006.004</v>
          </cell>
          <cell r="L741">
            <v>6440.53</v>
          </cell>
          <cell r="N741">
            <v>2298.5700000000002</v>
          </cell>
          <cell r="O741">
            <v>195.72</v>
          </cell>
          <cell r="P741">
            <v>2467.1999999999998</v>
          </cell>
          <cell r="Q741">
            <v>0</v>
          </cell>
          <cell r="R741">
            <v>4961.49</v>
          </cell>
          <cell r="T741">
            <v>0</v>
          </cell>
          <cell r="U741">
            <v>4961.49</v>
          </cell>
          <cell r="V741">
            <v>1479.04</v>
          </cell>
        </row>
        <row r="742">
          <cell r="D742" t="str">
            <v>Pintura Sobre Massa Em Forro - 3º Pav. Tipo</v>
          </cell>
          <cell r="E742">
            <v>346.89</v>
          </cell>
          <cell r="F742" t="str">
            <v>vb</v>
          </cell>
          <cell r="G742">
            <v>6440.53</v>
          </cell>
          <cell r="H742">
            <v>0</v>
          </cell>
          <cell r="I742" t="str">
            <v>01.015.006.005 - Pintura Sobre Massa Em Forro - 3º Pav. Tipo</v>
          </cell>
          <cell r="J742" t="str">
            <v>3 - CUSTOS DIRETOS</v>
          </cell>
          <cell r="K742" t="str">
            <v>3 - CUSTOS DIRETOS1.015.006.005</v>
          </cell>
          <cell r="L742">
            <v>6440.53</v>
          </cell>
          <cell r="N742">
            <v>4774.21</v>
          </cell>
          <cell r="O742">
            <v>195.72</v>
          </cell>
          <cell r="P742">
            <v>0</v>
          </cell>
          <cell r="Q742">
            <v>0</v>
          </cell>
          <cell r="R742">
            <v>4969.93</v>
          </cell>
          <cell r="T742">
            <v>0</v>
          </cell>
          <cell r="U742">
            <v>4969.93</v>
          </cell>
          <cell r="V742">
            <v>1470.5999999999995</v>
          </cell>
        </row>
        <row r="743">
          <cell r="D743" t="str">
            <v>Pintura Sobre Massa Em Forro - 4º Pav. Tipo</v>
          </cell>
          <cell r="E743">
            <v>346.89</v>
          </cell>
          <cell r="F743" t="str">
            <v>vb</v>
          </cell>
          <cell r="G743">
            <v>6440.53</v>
          </cell>
          <cell r="H743">
            <v>0</v>
          </cell>
          <cell r="I743" t="str">
            <v>01.015.006.006 - Pintura Sobre Massa Em Forro - 4º Pav. Tipo</v>
          </cell>
          <cell r="J743" t="str">
            <v>3 - CUSTOS DIRETOS</v>
          </cell>
          <cell r="K743" t="str">
            <v>3 - CUSTOS DIRETOS1.015.006.006</v>
          </cell>
          <cell r="L743">
            <v>6440.53</v>
          </cell>
          <cell r="N743">
            <v>4774.21</v>
          </cell>
          <cell r="O743">
            <v>195.72</v>
          </cell>
          <cell r="P743">
            <v>0</v>
          </cell>
          <cell r="Q743">
            <v>0</v>
          </cell>
          <cell r="R743">
            <v>4969.93</v>
          </cell>
          <cell r="T743">
            <v>0</v>
          </cell>
          <cell r="U743">
            <v>4969.93</v>
          </cell>
          <cell r="V743">
            <v>1470.5999999999995</v>
          </cell>
        </row>
        <row r="744">
          <cell r="D744" t="str">
            <v>Pintura Sobre Massa Em Forro - 5º Pav. Tipo</v>
          </cell>
          <cell r="E744">
            <v>346.89</v>
          </cell>
          <cell r="F744" t="str">
            <v>vb</v>
          </cell>
          <cell r="G744">
            <v>6440.53</v>
          </cell>
          <cell r="H744">
            <v>0</v>
          </cell>
          <cell r="I744" t="str">
            <v>01.015.006.007 - Pintura Sobre Massa Em Forro - 5º Pav. Tipo</v>
          </cell>
          <cell r="J744" t="str">
            <v>3 - CUSTOS DIRETOS</v>
          </cell>
          <cell r="K744" t="str">
            <v>3 - CUSTOS DIRETOS1.015.006.007</v>
          </cell>
          <cell r="L744">
            <v>6440.53</v>
          </cell>
          <cell r="N744">
            <v>4765.71</v>
          </cell>
          <cell r="O744">
            <v>195.72</v>
          </cell>
          <cell r="P744">
            <v>0</v>
          </cell>
          <cell r="Q744">
            <v>552.9</v>
          </cell>
          <cell r="R744">
            <v>5514.33</v>
          </cell>
          <cell r="T744">
            <v>0</v>
          </cell>
          <cell r="U744">
            <v>5514.33</v>
          </cell>
          <cell r="V744">
            <v>926.19999999999982</v>
          </cell>
        </row>
        <row r="745">
          <cell r="D745" t="str">
            <v>Pintura Sobre Massa Em Forro - 6º Pav. Tipo</v>
          </cell>
          <cell r="E745">
            <v>346.89</v>
          </cell>
          <cell r="F745" t="str">
            <v>vb</v>
          </cell>
          <cell r="G745">
            <v>6440.53</v>
          </cell>
          <cell r="H745">
            <v>0</v>
          </cell>
          <cell r="I745" t="str">
            <v>01.015.006.008 - Pintura Sobre Massa Em Forro - 6º Pav. Tipo</v>
          </cell>
          <cell r="J745" t="str">
            <v>3 - CUSTOS DIRETOS</v>
          </cell>
          <cell r="K745" t="str">
            <v>3 - CUSTOS DIRETOS1.015.006.008</v>
          </cell>
          <cell r="L745">
            <v>6440.53</v>
          </cell>
          <cell r="N745">
            <v>4741.96</v>
          </cell>
          <cell r="O745">
            <v>195.72</v>
          </cell>
          <cell r="P745">
            <v>0</v>
          </cell>
          <cell r="Q745">
            <v>552.9</v>
          </cell>
          <cell r="R745">
            <v>5490.58</v>
          </cell>
          <cell r="T745">
            <v>0</v>
          </cell>
          <cell r="U745">
            <v>5490.58</v>
          </cell>
          <cell r="V745">
            <v>949.94999999999982</v>
          </cell>
        </row>
        <row r="746">
          <cell r="D746" t="str">
            <v>Pintura Sobre Massa Em Forro - 7º Pav. Tipo</v>
          </cell>
          <cell r="E746">
            <v>346.89</v>
          </cell>
          <cell r="F746" t="str">
            <v>vb</v>
          </cell>
          <cell r="G746">
            <v>6440.53</v>
          </cell>
          <cell r="H746">
            <v>0</v>
          </cell>
          <cell r="I746" t="str">
            <v>01.015.006.009 - Pintura Sobre Massa Em Forro - 7º Pav. Tipo</v>
          </cell>
          <cell r="J746" t="str">
            <v>3 - CUSTOS DIRETOS</v>
          </cell>
          <cell r="K746" t="str">
            <v>3 - CUSTOS DIRETOS1.015.006.009</v>
          </cell>
          <cell r="L746">
            <v>6440.53</v>
          </cell>
          <cell r="N746">
            <v>4644.1000000000004</v>
          </cell>
          <cell r="O746">
            <v>0</v>
          </cell>
          <cell r="P746">
            <v>0</v>
          </cell>
          <cell r="Q746">
            <v>552.9</v>
          </cell>
          <cell r="R746">
            <v>5197</v>
          </cell>
          <cell r="T746">
            <v>0</v>
          </cell>
          <cell r="U746">
            <v>5197</v>
          </cell>
          <cell r="V746">
            <v>1243.5299999999997</v>
          </cell>
        </row>
        <row r="747">
          <cell r="D747" t="str">
            <v>Pintura Sobre Massa Em Forro - 8º Pav. Tipo</v>
          </cell>
          <cell r="E747">
            <v>346.89</v>
          </cell>
          <cell r="F747" t="str">
            <v>vb</v>
          </cell>
          <cell r="G747">
            <v>6440.53</v>
          </cell>
          <cell r="H747">
            <v>0</v>
          </cell>
          <cell r="I747" t="str">
            <v>01.015.006.010 - Pintura Sobre Massa Em Forro - 8º Pav. Tipo</v>
          </cell>
          <cell r="J747" t="str">
            <v>3 - CUSTOS DIRETOS</v>
          </cell>
          <cell r="K747" t="str">
            <v>3 - CUSTOS DIRETOS1.015.006.010</v>
          </cell>
          <cell r="L747">
            <v>6440.53</v>
          </cell>
          <cell r="N747">
            <v>4644.1000000000004</v>
          </cell>
          <cell r="O747">
            <v>0</v>
          </cell>
          <cell r="P747">
            <v>0</v>
          </cell>
          <cell r="Q747">
            <v>552.9</v>
          </cell>
          <cell r="R747">
            <v>5197</v>
          </cell>
          <cell r="T747">
            <v>0</v>
          </cell>
          <cell r="U747">
            <v>5197</v>
          </cell>
          <cell r="V747">
            <v>1243.5299999999997</v>
          </cell>
        </row>
        <row r="748">
          <cell r="D748" t="str">
            <v>Pintura Sobre Massa Em Forro - 9º Pav. Tipo</v>
          </cell>
          <cell r="E748">
            <v>346.89</v>
          </cell>
          <cell r="F748" t="str">
            <v>vb</v>
          </cell>
          <cell r="G748">
            <v>6440.53</v>
          </cell>
          <cell r="H748">
            <v>0</v>
          </cell>
          <cell r="I748" t="str">
            <v>01.015.006.011 - Pintura Sobre Massa Em Forro - 9º Pav. Tipo</v>
          </cell>
          <cell r="J748" t="str">
            <v>3 - CUSTOS DIRETOS</v>
          </cell>
          <cell r="K748" t="str">
            <v>3 - CUSTOS DIRETOS1.015.006.011</v>
          </cell>
          <cell r="L748">
            <v>6440.53</v>
          </cell>
          <cell r="N748">
            <v>4671.4500000000007</v>
          </cell>
          <cell r="O748">
            <v>250.2</v>
          </cell>
          <cell r="P748">
            <v>0</v>
          </cell>
          <cell r="Q748">
            <v>552.9</v>
          </cell>
          <cell r="R748">
            <v>5474.55</v>
          </cell>
          <cell r="T748">
            <v>0</v>
          </cell>
          <cell r="U748">
            <v>5474.55</v>
          </cell>
          <cell r="V748">
            <v>965.97999999999956</v>
          </cell>
        </row>
        <row r="749">
          <cell r="D749" t="str">
            <v>Pintura Sobre Massa Em Forro - 10º Pav. Tipo</v>
          </cell>
          <cell r="E749">
            <v>346.89</v>
          </cell>
          <cell r="F749" t="str">
            <v>vb</v>
          </cell>
          <cell r="G749">
            <v>6440.53</v>
          </cell>
          <cell r="H749">
            <v>0</v>
          </cell>
          <cell r="I749" t="str">
            <v>01.015.006.012 - Pintura Sobre Massa Em Forro - 10º Pav. Tipo</v>
          </cell>
          <cell r="J749" t="str">
            <v>3 - CUSTOS DIRETOS</v>
          </cell>
          <cell r="K749" t="str">
            <v>3 - CUSTOS DIRETOS1.015.006.012</v>
          </cell>
          <cell r="L749">
            <v>6440.53</v>
          </cell>
          <cell r="N749">
            <v>4671.45</v>
          </cell>
          <cell r="O749">
            <v>250.2</v>
          </cell>
          <cell r="P749">
            <v>0</v>
          </cell>
          <cell r="Q749">
            <v>552.9</v>
          </cell>
          <cell r="R749">
            <v>5474.5499999999993</v>
          </cell>
          <cell r="T749">
            <v>0</v>
          </cell>
          <cell r="U749">
            <v>5474.5499999999993</v>
          </cell>
          <cell r="V749">
            <v>965.98000000000047</v>
          </cell>
        </row>
        <row r="750">
          <cell r="D750" t="str">
            <v>Pintura Sobre Massa Em Forro - 11º Pav. Tipo</v>
          </cell>
          <cell r="E750">
            <v>346.89</v>
          </cell>
          <cell r="F750" t="str">
            <v>vb</v>
          </cell>
          <cell r="G750">
            <v>6440.53</v>
          </cell>
          <cell r="H750">
            <v>0</v>
          </cell>
          <cell r="I750" t="str">
            <v>01.015.006.013 - Pintura Sobre Massa Em Forro - 11º Pav. Tipo</v>
          </cell>
          <cell r="J750" t="str">
            <v>3 - CUSTOS DIRETOS</v>
          </cell>
          <cell r="K750" t="str">
            <v>3 - CUSTOS DIRETOS1.015.006.013</v>
          </cell>
          <cell r="L750">
            <v>6440.53</v>
          </cell>
          <cell r="N750">
            <v>4671.45</v>
          </cell>
          <cell r="O750">
            <v>250.2</v>
          </cell>
          <cell r="P750">
            <v>0</v>
          </cell>
          <cell r="Q750">
            <v>0</v>
          </cell>
          <cell r="R750">
            <v>4921.6499999999996</v>
          </cell>
          <cell r="T750">
            <v>0</v>
          </cell>
          <cell r="U750">
            <v>4921.6499999999996</v>
          </cell>
          <cell r="V750">
            <v>1518.88</v>
          </cell>
        </row>
        <row r="751">
          <cell r="D751" t="str">
            <v>Pintura Sobre Massa Em Forro - 12º Pav. Tipo</v>
          </cell>
          <cell r="E751">
            <v>346.89</v>
          </cell>
          <cell r="F751" t="str">
            <v>vb</v>
          </cell>
          <cell r="G751">
            <v>6440.53</v>
          </cell>
          <cell r="H751">
            <v>0</v>
          </cell>
          <cell r="I751" t="str">
            <v>01.015.006.014 - Pintura Sobre Massa Em Forro - 12º Pav. Tipo</v>
          </cell>
          <cell r="J751" t="str">
            <v>3 - CUSTOS DIRETOS</v>
          </cell>
          <cell r="K751" t="str">
            <v>3 - CUSTOS DIRETOS1.015.006.014</v>
          </cell>
          <cell r="L751">
            <v>6440.53</v>
          </cell>
          <cell r="N751">
            <v>3029.3199999999997</v>
          </cell>
          <cell r="O751">
            <v>250.2</v>
          </cell>
          <cell r="P751">
            <v>1642.19</v>
          </cell>
          <cell r="Q751">
            <v>0</v>
          </cell>
          <cell r="R751">
            <v>4921.7099999999991</v>
          </cell>
          <cell r="T751">
            <v>0</v>
          </cell>
          <cell r="U751">
            <v>4921.7099999999991</v>
          </cell>
          <cell r="V751">
            <v>1518.8200000000006</v>
          </cell>
        </row>
        <row r="752">
          <cell r="D752" t="str">
            <v>Pintura Sobre Massa Em Forro - 13º Pav. Tipo</v>
          </cell>
          <cell r="E752">
            <v>346.89</v>
          </cell>
          <cell r="F752" t="str">
            <v>vb</v>
          </cell>
          <cell r="G752">
            <v>6440.53</v>
          </cell>
          <cell r="H752">
            <v>0</v>
          </cell>
          <cell r="I752" t="str">
            <v>01.015.006.015 - Pintura Sobre Massa Em Forro - 13º Pav. Tipo</v>
          </cell>
          <cell r="J752" t="str">
            <v>3 - CUSTOS DIRETOS</v>
          </cell>
          <cell r="K752" t="str">
            <v>3 - CUSTOS DIRETOS1.015.006.015</v>
          </cell>
          <cell r="L752">
            <v>6440.53</v>
          </cell>
          <cell r="N752">
            <v>62.45</v>
          </cell>
          <cell r="O752">
            <v>250.2</v>
          </cell>
          <cell r="P752">
            <v>4608.99</v>
          </cell>
          <cell r="Q752">
            <v>0</v>
          </cell>
          <cell r="R752">
            <v>4921.6399999999994</v>
          </cell>
          <cell r="T752">
            <v>0</v>
          </cell>
          <cell r="U752">
            <v>4921.6399999999994</v>
          </cell>
          <cell r="V752">
            <v>1518.8900000000003</v>
          </cell>
        </row>
        <row r="753">
          <cell r="D753" t="str">
            <v>Pintura Sobre Massa Em Forro - 14º Pav. Tipo</v>
          </cell>
          <cell r="E753">
            <v>346.89</v>
          </cell>
          <cell r="F753" t="str">
            <v>vb</v>
          </cell>
          <cell r="G753">
            <v>6440.53</v>
          </cell>
          <cell r="H753">
            <v>0</v>
          </cell>
          <cell r="I753" t="str">
            <v>01.015.006.016 - Pintura Sobre Massa Em Forro - 14º Pav. Tipo</v>
          </cell>
          <cell r="J753" t="str">
            <v>3 - CUSTOS DIRETOS</v>
          </cell>
          <cell r="K753" t="str">
            <v>3 - CUSTOS DIRETOS1.015.006.016</v>
          </cell>
          <cell r="L753">
            <v>6440.53</v>
          </cell>
          <cell r="N753">
            <v>62.45</v>
          </cell>
          <cell r="O753">
            <v>250.2</v>
          </cell>
          <cell r="P753">
            <v>4608.99</v>
          </cell>
          <cell r="Q753">
            <v>0</v>
          </cell>
          <cell r="R753">
            <v>4921.6399999999994</v>
          </cell>
          <cell r="T753">
            <v>0</v>
          </cell>
          <cell r="U753">
            <v>4921.6399999999994</v>
          </cell>
          <cell r="V753">
            <v>1518.8900000000003</v>
          </cell>
        </row>
        <row r="754">
          <cell r="D754" t="str">
            <v>Pintura Sobre Massa Em Forro - 15º Pav. Tipo</v>
          </cell>
          <cell r="E754">
            <v>346.89</v>
          </cell>
          <cell r="F754" t="str">
            <v>vb</v>
          </cell>
          <cell r="G754">
            <v>6440.53</v>
          </cell>
          <cell r="H754">
            <v>0</v>
          </cell>
          <cell r="I754" t="str">
            <v>01.015.006.017 - Pintura Sobre Massa Em Forro - 15º Pav. Tipo</v>
          </cell>
          <cell r="J754" t="str">
            <v>3 - CUSTOS DIRETOS</v>
          </cell>
          <cell r="K754" t="str">
            <v>3 - CUSTOS DIRETOS1.015.006.017</v>
          </cell>
          <cell r="L754">
            <v>6440.53</v>
          </cell>
          <cell r="N754">
            <v>4671.4500000000007</v>
          </cell>
          <cell r="O754">
            <v>250.2</v>
          </cell>
          <cell r="P754">
            <v>0</v>
          </cell>
          <cell r="Q754">
            <v>0</v>
          </cell>
          <cell r="R754">
            <v>4921.6500000000005</v>
          </cell>
          <cell r="T754">
            <v>0</v>
          </cell>
          <cell r="U754">
            <v>4921.6500000000005</v>
          </cell>
          <cell r="V754">
            <v>1518.8799999999992</v>
          </cell>
        </row>
        <row r="755">
          <cell r="D755" t="str">
            <v>Pintura Sobre Massa Em Forro - Cobertura</v>
          </cell>
          <cell r="E755">
            <v>0</v>
          </cell>
          <cell r="F755" t="str">
            <v>vb</v>
          </cell>
          <cell r="G755">
            <v>0</v>
          </cell>
          <cell r="H755">
            <v>0</v>
          </cell>
          <cell r="I755" t="str">
            <v>01.015.006.018 - Pintura Sobre Massa Em Forro - Cobertura</v>
          </cell>
          <cell r="J755" t="str">
            <v>3 - CUSTOS DIRETOS</v>
          </cell>
          <cell r="K755" t="str">
            <v>3 - CUSTOS DIRETOS1.015.006.018</v>
          </cell>
          <cell r="L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T755">
            <v>0</v>
          </cell>
          <cell r="U755">
            <v>0</v>
          </cell>
          <cell r="V755">
            <v>0</v>
          </cell>
        </row>
        <row r="756">
          <cell r="D756" t="str">
            <v>PINTURA SOBRE LAJE</v>
          </cell>
          <cell r="I756" t="str">
            <v>01.015.007 - PINTURA SOBRE LAJE</v>
          </cell>
          <cell r="J756" t="str">
            <v>3 - CUSTOS DIRETOS</v>
          </cell>
          <cell r="K756" t="str">
            <v>3 - CUSTOS DIRETOS1.015.007</v>
          </cell>
          <cell r="L756">
            <v>20351.449999999975</v>
          </cell>
          <cell r="N756">
            <v>9064.27</v>
          </cell>
          <cell r="O756">
            <v>0</v>
          </cell>
          <cell r="P756">
            <v>11130.76</v>
          </cell>
          <cell r="Q756">
            <v>0</v>
          </cell>
          <cell r="R756">
            <v>20195.03</v>
          </cell>
          <cell r="T756">
            <v>28720.55</v>
          </cell>
          <cell r="U756">
            <v>48915.58</v>
          </cell>
          <cell r="V756">
            <v>-28564.130000000026</v>
          </cell>
        </row>
        <row r="757">
          <cell r="D757" t="str">
            <v>Pintura Sobre Laje - Subsolo</v>
          </cell>
          <cell r="E757">
            <v>1428.84</v>
          </cell>
          <cell r="F757" t="str">
            <v>vb</v>
          </cell>
          <cell r="G757">
            <v>15841.55</v>
          </cell>
          <cell r="H757">
            <v>0</v>
          </cell>
          <cell r="I757" t="str">
            <v>01.015.007.001 - Pintura Sobre Laje - Subsolo</v>
          </cell>
          <cell r="J757" t="str">
            <v>3 - CUSTOS DIRETOS</v>
          </cell>
          <cell r="K757" t="str">
            <v>3 - CUSTOS DIRETOS1.015.007.001</v>
          </cell>
          <cell r="L757">
            <v>15841.55</v>
          </cell>
          <cell r="N757">
            <v>0</v>
          </cell>
          <cell r="O757">
            <v>0</v>
          </cell>
          <cell r="P757">
            <v>1121</v>
          </cell>
          <cell r="Q757">
            <v>0</v>
          </cell>
          <cell r="R757">
            <v>1121</v>
          </cell>
          <cell r="T757">
            <v>14720.55</v>
          </cell>
          <cell r="U757">
            <v>15841.55</v>
          </cell>
          <cell r="V757">
            <v>0</v>
          </cell>
        </row>
        <row r="758">
          <cell r="D758" t="str">
            <v>Pintura Sobre Laje - Térreo</v>
          </cell>
          <cell r="E758">
            <v>48.17</v>
          </cell>
          <cell r="F758" t="str">
            <v>vb</v>
          </cell>
          <cell r="G758">
            <v>534.05999999999995</v>
          </cell>
          <cell r="H758">
            <v>0</v>
          </cell>
          <cell r="I758" t="str">
            <v>01.015.007.002 - Pintura Sobre Laje - Térreo</v>
          </cell>
          <cell r="J758" t="str">
            <v>3 - CUSTOS DIRETOS</v>
          </cell>
          <cell r="K758" t="str">
            <v>3 - CUSTOS DIRETOS1.015.007.002</v>
          </cell>
          <cell r="L758">
            <v>534.05999999999995</v>
          </cell>
          <cell r="N758">
            <v>0</v>
          </cell>
          <cell r="O758">
            <v>0</v>
          </cell>
          <cell r="P758">
            <v>1121</v>
          </cell>
          <cell r="Q758">
            <v>0</v>
          </cell>
          <cell r="R758">
            <v>1121</v>
          </cell>
          <cell r="T758">
            <v>6000</v>
          </cell>
          <cell r="U758">
            <v>7121</v>
          </cell>
          <cell r="V758">
            <v>-6586.9400000000005</v>
          </cell>
        </row>
        <row r="759">
          <cell r="D759" t="str">
            <v>Pintura Sobre Laje - 1º Pav. Tipo</v>
          </cell>
          <cell r="E759">
            <v>21.58</v>
          </cell>
          <cell r="F759" t="str">
            <v>vb</v>
          </cell>
          <cell r="G759">
            <v>239.26</v>
          </cell>
          <cell r="H759">
            <v>0</v>
          </cell>
          <cell r="I759" t="str">
            <v>01.015.007.003 - Pintura Sobre Laje - 1º Pav. Tipo</v>
          </cell>
          <cell r="J759" t="str">
            <v>3 - CUSTOS DIRETOS</v>
          </cell>
          <cell r="K759" t="str">
            <v>3 - CUSTOS DIRETOS1.015.007.003</v>
          </cell>
          <cell r="L759">
            <v>239.26</v>
          </cell>
          <cell r="N759">
            <v>0</v>
          </cell>
          <cell r="O759">
            <v>0</v>
          </cell>
          <cell r="P759">
            <v>1121</v>
          </cell>
          <cell r="Q759">
            <v>0</v>
          </cell>
          <cell r="R759">
            <v>1121</v>
          </cell>
          <cell r="T759">
            <v>500</v>
          </cell>
          <cell r="U759">
            <v>1621</v>
          </cell>
          <cell r="V759">
            <v>-1381.74</v>
          </cell>
        </row>
        <row r="760">
          <cell r="D760" t="str">
            <v>Pintura Sobre Laje - 2º Pav. Tipo</v>
          </cell>
          <cell r="E760">
            <v>21.58</v>
          </cell>
          <cell r="F760" t="str">
            <v>vb</v>
          </cell>
          <cell r="G760">
            <v>239.26</v>
          </cell>
          <cell r="H760">
            <v>0</v>
          </cell>
          <cell r="I760" t="str">
            <v>01.015.007.004 - Pintura Sobre Laje - 2º Pav. Tipo</v>
          </cell>
          <cell r="J760" t="str">
            <v>3 - CUSTOS DIRETOS</v>
          </cell>
          <cell r="K760" t="str">
            <v>3 - CUSTOS DIRETOS1.015.007.004</v>
          </cell>
          <cell r="L760">
            <v>239.26</v>
          </cell>
          <cell r="N760">
            <v>0</v>
          </cell>
          <cell r="O760">
            <v>0</v>
          </cell>
          <cell r="P760">
            <v>1121</v>
          </cell>
          <cell r="Q760">
            <v>0</v>
          </cell>
          <cell r="R760">
            <v>1121</v>
          </cell>
          <cell r="T760">
            <v>500</v>
          </cell>
          <cell r="U760">
            <v>1621</v>
          </cell>
          <cell r="V760">
            <v>-1381.74</v>
          </cell>
        </row>
        <row r="761">
          <cell r="D761" t="str">
            <v>Pintura Sobre Laje - 3º Pav. Tipo</v>
          </cell>
          <cell r="E761">
            <v>21.58</v>
          </cell>
          <cell r="F761" t="str">
            <v>vb</v>
          </cell>
          <cell r="G761">
            <v>239.26</v>
          </cell>
          <cell r="H761">
            <v>0</v>
          </cell>
          <cell r="I761" t="str">
            <v>01.015.007.005 - Pintura Sobre Laje - 3º Pav. Tipo</v>
          </cell>
          <cell r="J761" t="str">
            <v>3 - CUSTOS DIRETOS</v>
          </cell>
          <cell r="K761" t="str">
            <v>3 - CUSTOS DIRETOS1.015.007.005</v>
          </cell>
          <cell r="L761">
            <v>239.26</v>
          </cell>
          <cell r="N761">
            <v>1129.5</v>
          </cell>
          <cell r="O761">
            <v>0</v>
          </cell>
          <cell r="P761">
            <v>0</v>
          </cell>
          <cell r="Q761">
            <v>0</v>
          </cell>
          <cell r="R761">
            <v>1129.5</v>
          </cell>
          <cell r="T761">
            <v>500</v>
          </cell>
          <cell r="U761">
            <v>1629.5</v>
          </cell>
          <cell r="V761">
            <v>-1390.24</v>
          </cell>
        </row>
        <row r="762">
          <cell r="D762" t="str">
            <v>Pintura Sobre Laje - 4º Pav. Tipo</v>
          </cell>
          <cell r="E762">
            <v>21.58</v>
          </cell>
          <cell r="F762" t="str">
            <v>vb</v>
          </cell>
          <cell r="G762">
            <v>239.26</v>
          </cell>
          <cell r="H762">
            <v>0</v>
          </cell>
          <cell r="I762" t="str">
            <v>01.015.007.006 - Pintura Sobre Laje - 4º Pav. Tipo</v>
          </cell>
          <cell r="J762" t="str">
            <v>3 - CUSTOS DIRETOS</v>
          </cell>
          <cell r="K762" t="str">
            <v>3 - CUSTOS DIRETOS1.015.007.006</v>
          </cell>
          <cell r="L762">
            <v>239.26</v>
          </cell>
          <cell r="N762">
            <v>1129.5</v>
          </cell>
          <cell r="O762">
            <v>0</v>
          </cell>
          <cell r="P762">
            <v>0</v>
          </cell>
          <cell r="Q762">
            <v>0</v>
          </cell>
          <cell r="R762">
            <v>1129.5</v>
          </cell>
          <cell r="T762">
            <v>500</v>
          </cell>
          <cell r="U762">
            <v>1629.5</v>
          </cell>
          <cell r="V762">
            <v>-1390.24</v>
          </cell>
        </row>
        <row r="763">
          <cell r="D763" t="str">
            <v>Pintura Sobre Laje - 5º Pav. Tipo</v>
          </cell>
          <cell r="E763">
            <v>21.58</v>
          </cell>
          <cell r="F763" t="str">
            <v>vb</v>
          </cell>
          <cell r="G763">
            <v>239.26</v>
          </cell>
          <cell r="H763">
            <v>0</v>
          </cell>
          <cell r="I763" t="str">
            <v>01.015.007.007 - Pintura Sobre Laje - 5º Pav. Tipo</v>
          </cell>
          <cell r="J763" t="str">
            <v>3 - CUSTOS DIRETOS</v>
          </cell>
          <cell r="K763" t="str">
            <v>3 - CUSTOS DIRETOS1.015.007.007</v>
          </cell>
          <cell r="L763">
            <v>239.26</v>
          </cell>
          <cell r="N763">
            <v>1121</v>
          </cell>
          <cell r="O763">
            <v>0</v>
          </cell>
          <cell r="P763">
            <v>0</v>
          </cell>
          <cell r="Q763">
            <v>0</v>
          </cell>
          <cell r="R763">
            <v>1121</v>
          </cell>
          <cell r="T763">
            <v>500</v>
          </cell>
          <cell r="U763">
            <v>1621</v>
          </cell>
          <cell r="V763">
            <v>-1381.74</v>
          </cell>
        </row>
        <row r="764">
          <cell r="D764" t="str">
            <v>Pintura Sobre Laje - 6º Pav. Tipo</v>
          </cell>
          <cell r="E764">
            <v>21.58</v>
          </cell>
          <cell r="F764" t="str">
            <v>vb</v>
          </cell>
          <cell r="G764">
            <v>239.26</v>
          </cell>
          <cell r="H764">
            <v>0</v>
          </cell>
          <cell r="I764" t="str">
            <v>01.015.007.008 - Pintura Sobre Laje - 6º Pav. Tipo</v>
          </cell>
          <cell r="J764" t="str">
            <v>3 - CUSTOS DIRETOS</v>
          </cell>
          <cell r="K764" t="str">
            <v>3 - CUSTOS DIRETOS1.015.007.008</v>
          </cell>
          <cell r="L764">
            <v>239.26</v>
          </cell>
          <cell r="N764">
            <v>1121</v>
          </cell>
          <cell r="O764">
            <v>0</v>
          </cell>
          <cell r="P764">
            <v>0</v>
          </cell>
          <cell r="Q764">
            <v>0</v>
          </cell>
          <cell r="R764">
            <v>1121</v>
          </cell>
          <cell r="T764">
            <v>500</v>
          </cell>
          <cell r="U764">
            <v>1621</v>
          </cell>
          <cell r="V764">
            <v>-1381.74</v>
          </cell>
        </row>
        <row r="765">
          <cell r="D765" t="str">
            <v>Pintura Sobre Laje - 7º Pav. Tipo</v>
          </cell>
          <cell r="E765">
            <v>21.58</v>
          </cell>
          <cell r="F765" t="str">
            <v>vb</v>
          </cell>
          <cell r="G765">
            <v>239.26</v>
          </cell>
          <cell r="H765">
            <v>0</v>
          </cell>
          <cell r="I765" t="str">
            <v>01.015.007.009 - Pintura Sobre Laje - 7º Pav. Tipo</v>
          </cell>
          <cell r="J765" t="str">
            <v>3 - CUSTOS DIRETOS</v>
          </cell>
          <cell r="K765" t="str">
            <v>3 - CUSTOS DIRETOS1.015.007.009</v>
          </cell>
          <cell r="L765">
            <v>239.26</v>
          </cell>
          <cell r="N765">
            <v>1121</v>
          </cell>
          <cell r="O765">
            <v>0</v>
          </cell>
          <cell r="P765">
            <v>0</v>
          </cell>
          <cell r="Q765">
            <v>0</v>
          </cell>
          <cell r="R765">
            <v>1121</v>
          </cell>
          <cell r="T765">
            <v>500</v>
          </cell>
          <cell r="U765">
            <v>1621</v>
          </cell>
          <cell r="V765">
            <v>-1381.74</v>
          </cell>
        </row>
        <row r="766">
          <cell r="D766" t="str">
            <v>Pintura Sobre Laje - 8º Pav. Tipo</v>
          </cell>
          <cell r="E766">
            <v>21.58</v>
          </cell>
          <cell r="F766" t="str">
            <v>vb</v>
          </cell>
          <cell r="G766">
            <v>239.26</v>
          </cell>
          <cell r="H766">
            <v>0</v>
          </cell>
          <cell r="I766" t="str">
            <v>01.015.007.010 - Pintura Sobre Laje - 8º Pav. Tipo</v>
          </cell>
          <cell r="J766" t="str">
            <v>3 - CUSTOS DIRETOS</v>
          </cell>
          <cell r="K766" t="str">
            <v>3 - CUSTOS DIRETOS1.015.007.010</v>
          </cell>
          <cell r="L766">
            <v>239.26</v>
          </cell>
          <cell r="N766">
            <v>1121</v>
          </cell>
          <cell r="O766">
            <v>0</v>
          </cell>
          <cell r="P766">
            <v>0</v>
          </cell>
          <cell r="Q766">
            <v>0</v>
          </cell>
          <cell r="R766">
            <v>1121</v>
          </cell>
          <cell r="T766">
            <v>500</v>
          </cell>
          <cell r="U766">
            <v>1621</v>
          </cell>
          <cell r="V766">
            <v>-1381.74</v>
          </cell>
        </row>
        <row r="767">
          <cell r="D767" t="str">
            <v>Pintura Sobre Laje - 9º Pav. Tipo</v>
          </cell>
          <cell r="E767">
            <v>21.58</v>
          </cell>
          <cell r="F767" t="str">
            <v>vb</v>
          </cell>
          <cell r="G767">
            <v>239.26</v>
          </cell>
          <cell r="H767">
            <v>0</v>
          </cell>
          <cell r="I767" t="str">
            <v>01.015.007.011 - Pintura Sobre Laje - 9º Pav. Tipo</v>
          </cell>
          <cell r="J767" t="str">
            <v>3 - CUSTOS DIRETOS</v>
          </cell>
          <cell r="K767" t="str">
            <v>3 - CUSTOS DIRETOS1.015.007.011</v>
          </cell>
          <cell r="L767">
            <v>239.26</v>
          </cell>
          <cell r="N767">
            <v>1121</v>
          </cell>
          <cell r="O767">
            <v>0</v>
          </cell>
          <cell r="P767">
            <v>0</v>
          </cell>
          <cell r="Q767">
            <v>0</v>
          </cell>
          <cell r="R767">
            <v>1121</v>
          </cell>
          <cell r="T767">
            <v>500</v>
          </cell>
          <cell r="U767">
            <v>1621</v>
          </cell>
          <cell r="V767">
            <v>-1381.74</v>
          </cell>
        </row>
        <row r="768">
          <cell r="D768" t="str">
            <v>Pintura Sobre Laje - 10º Pav. Tipo</v>
          </cell>
          <cell r="E768">
            <v>21.58</v>
          </cell>
          <cell r="F768" t="str">
            <v>vb</v>
          </cell>
          <cell r="G768">
            <v>239.26</v>
          </cell>
          <cell r="H768">
            <v>0</v>
          </cell>
          <cell r="I768" t="str">
            <v>01.015.007.012 - Pintura Sobre Laje - 10º Pav. Tipo</v>
          </cell>
          <cell r="J768" t="str">
            <v>3 - CUSTOS DIRETOS</v>
          </cell>
          <cell r="K768" t="str">
            <v>3 - CUSTOS DIRETOS1.015.007.012</v>
          </cell>
          <cell r="L768">
            <v>239.26</v>
          </cell>
          <cell r="N768">
            <v>1121</v>
          </cell>
          <cell r="O768">
            <v>0</v>
          </cell>
          <cell r="P768">
            <v>0</v>
          </cell>
          <cell r="Q768">
            <v>0</v>
          </cell>
          <cell r="R768">
            <v>1121</v>
          </cell>
          <cell r="T768">
            <v>500</v>
          </cell>
          <cell r="U768">
            <v>1621</v>
          </cell>
          <cell r="V768">
            <v>-1381.74</v>
          </cell>
        </row>
        <row r="769">
          <cell r="D769" t="str">
            <v>Pintura Sobre Laje - 11º Pav. Tipo</v>
          </cell>
          <cell r="E769">
            <v>21.58</v>
          </cell>
          <cell r="F769" t="str">
            <v>vb</v>
          </cell>
          <cell r="G769">
            <v>239.26</v>
          </cell>
          <cell r="H769">
            <v>0</v>
          </cell>
          <cell r="I769" t="str">
            <v>01.015.007.013 - Pintura Sobre Laje - 11º Pav. Tipo</v>
          </cell>
          <cell r="J769" t="str">
            <v>3 - CUSTOS DIRETOS</v>
          </cell>
          <cell r="K769" t="str">
            <v>3 - CUSTOS DIRETOS1.015.007.013</v>
          </cell>
          <cell r="L769">
            <v>239.26</v>
          </cell>
          <cell r="N769">
            <v>79.27</v>
          </cell>
          <cell r="O769">
            <v>0</v>
          </cell>
          <cell r="P769">
            <v>1041.76</v>
          </cell>
          <cell r="Q769">
            <v>0</v>
          </cell>
          <cell r="R769">
            <v>1121.03</v>
          </cell>
          <cell r="T769">
            <v>500</v>
          </cell>
          <cell r="U769">
            <v>1621.03</v>
          </cell>
          <cell r="V769">
            <v>-1381.77</v>
          </cell>
        </row>
        <row r="770">
          <cell r="D770" t="str">
            <v>Pintura Sobre Laje - 12º Pav. Tipo</v>
          </cell>
          <cell r="E770">
            <v>21.58</v>
          </cell>
          <cell r="F770" t="str">
            <v>vb</v>
          </cell>
          <cell r="G770">
            <v>239.26</v>
          </cell>
          <cell r="H770">
            <v>0</v>
          </cell>
          <cell r="I770" t="str">
            <v>01.015.007.014 - Pintura Sobre Laje - 12º Pav. Tipo</v>
          </cell>
          <cell r="J770" t="str">
            <v>3 - CUSTOS DIRETOS</v>
          </cell>
          <cell r="K770" t="str">
            <v>3 - CUSTOS DIRETOS1.015.007.014</v>
          </cell>
          <cell r="L770">
            <v>239.26</v>
          </cell>
          <cell r="N770">
            <v>0</v>
          </cell>
          <cell r="O770">
            <v>0</v>
          </cell>
          <cell r="P770">
            <v>1121</v>
          </cell>
          <cell r="Q770">
            <v>0</v>
          </cell>
          <cell r="R770">
            <v>1121</v>
          </cell>
          <cell r="T770">
            <v>500</v>
          </cell>
          <cell r="U770">
            <v>1621</v>
          </cell>
          <cell r="V770">
            <v>-1381.74</v>
          </cell>
        </row>
        <row r="771">
          <cell r="D771" t="str">
            <v>Pintura Sobre Laje - 13º Pav. Tipo</v>
          </cell>
          <cell r="E771">
            <v>21.58</v>
          </cell>
          <cell r="F771" t="str">
            <v>vb</v>
          </cell>
          <cell r="G771">
            <v>239.26</v>
          </cell>
          <cell r="H771">
            <v>0</v>
          </cell>
          <cell r="I771" t="str">
            <v>01.015.007.015 - Pintura Sobre Laje - 13º Pav. Tipo</v>
          </cell>
          <cell r="J771" t="str">
            <v>3 - CUSTOS DIRETOS</v>
          </cell>
          <cell r="K771" t="str">
            <v>3 - CUSTOS DIRETOS1.015.007.015</v>
          </cell>
          <cell r="L771">
            <v>239.26</v>
          </cell>
          <cell r="N771">
            <v>0</v>
          </cell>
          <cell r="O771">
            <v>0</v>
          </cell>
          <cell r="P771">
            <v>1121</v>
          </cell>
          <cell r="Q771">
            <v>0</v>
          </cell>
          <cell r="R771">
            <v>1121</v>
          </cell>
          <cell r="T771">
            <v>500</v>
          </cell>
          <cell r="U771">
            <v>1621</v>
          </cell>
          <cell r="V771">
            <v>-1381.74</v>
          </cell>
        </row>
        <row r="772">
          <cell r="D772" t="str">
            <v>Pintura Sobre Laje - 14º Pav. Tipo</v>
          </cell>
          <cell r="E772">
            <v>21.58</v>
          </cell>
          <cell r="F772" t="str">
            <v>vb</v>
          </cell>
          <cell r="G772">
            <v>239.26</v>
          </cell>
          <cell r="H772">
            <v>0</v>
          </cell>
          <cell r="I772" t="str">
            <v>01.015.007.016 - Pintura Sobre Laje - 14º Pav. Tipo</v>
          </cell>
          <cell r="J772" t="str">
            <v>3 - CUSTOS DIRETOS</v>
          </cell>
          <cell r="K772" t="str">
            <v>3 - CUSTOS DIRETOS1.015.007.016</v>
          </cell>
          <cell r="L772">
            <v>239.26</v>
          </cell>
          <cell r="N772">
            <v>0</v>
          </cell>
          <cell r="O772">
            <v>0</v>
          </cell>
          <cell r="P772">
            <v>1121</v>
          </cell>
          <cell r="Q772">
            <v>0</v>
          </cell>
          <cell r="R772">
            <v>1121</v>
          </cell>
          <cell r="T772">
            <v>500</v>
          </cell>
          <cell r="U772">
            <v>1621</v>
          </cell>
          <cell r="V772">
            <v>-1381.74</v>
          </cell>
        </row>
        <row r="773">
          <cell r="D773" t="str">
            <v>Pintura Sobre Laje - 15º Pav. Tipo</v>
          </cell>
          <cell r="E773">
            <v>21.58</v>
          </cell>
          <cell r="F773" t="str">
            <v>vb</v>
          </cell>
          <cell r="G773">
            <v>239.26</v>
          </cell>
          <cell r="H773">
            <v>0</v>
          </cell>
          <cell r="I773" t="str">
            <v>01.015.007.017 - Pintura Sobre Laje - 15º Pav. Tipo</v>
          </cell>
          <cell r="J773" t="str">
            <v>3 - CUSTOS DIRETOS</v>
          </cell>
          <cell r="K773" t="str">
            <v>3 - CUSTOS DIRETOS1.015.007.017</v>
          </cell>
          <cell r="L773">
            <v>239.26</v>
          </cell>
          <cell r="N773">
            <v>0</v>
          </cell>
          <cell r="O773">
            <v>0</v>
          </cell>
          <cell r="P773">
            <v>1121</v>
          </cell>
          <cell r="Q773">
            <v>0</v>
          </cell>
          <cell r="R773">
            <v>1121</v>
          </cell>
          <cell r="T773">
            <v>500</v>
          </cell>
          <cell r="U773">
            <v>1621</v>
          </cell>
          <cell r="V773">
            <v>-1381.74</v>
          </cell>
        </row>
        <row r="774">
          <cell r="D774" t="str">
            <v>Pintura Sobre Laje - Cobertura</v>
          </cell>
          <cell r="E774">
            <v>34.9</v>
          </cell>
          <cell r="F774" t="str">
            <v>vb</v>
          </cell>
          <cell r="G774">
            <v>386.94</v>
          </cell>
          <cell r="H774">
            <v>0</v>
          </cell>
          <cell r="I774" t="str">
            <v>01.015.007.018 - Pintura Sobre Laje - Cobertura</v>
          </cell>
          <cell r="J774" t="str">
            <v>3 - CUSTOS DIRETOS</v>
          </cell>
          <cell r="K774" t="str">
            <v>3 - CUSTOS DIRETOS1.015.007.018</v>
          </cell>
          <cell r="L774">
            <v>386.94</v>
          </cell>
          <cell r="N774">
            <v>0</v>
          </cell>
          <cell r="O774">
            <v>0</v>
          </cell>
          <cell r="P774">
            <v>1121</v>
          </cell>
          <cell r="Q774">
            <v>0</v>
          </cell>
          <cell r="R774">
            <v>1121</v>
          </cell>
          <cell r="T774">
            <v>500</v>
          </cell>
          <cell r="U774">
            <v>1621</v>
          </cell>
          <cell r="V774">
            <v>-1234.06</v>
          </cell>
        </row>
        <row r="775">
          <cell r="D775" t="str">
            <v>PAVIMENTAÇÃO</v>
          </cell>
          <cell r="I775" t="str">
            <v>01.016 - PAVIMENTAÇÃO</v>
          </cell>
          <cell r="J775" t="str">
            <v>3 - CUSTOS DIRETOS</v>
          </cell>
          <cell r="K775" t="str">
            <v>3 - CUSTOS DIRETOS1.016</v>
          </cell>
          <cell r="L775">
            <v>1301538.4799999997</v>
          </cell>
          <cell r="N775">
            <v>866509.13</v>
          </cell>
          <cell r="O775">
            <v>1971.21</v>
          </cell>
          <cell r="P775">
            <v>53324.380000000005</v>
          </cell>
          <cell r="Q775">
            <v>12995.43</v>
          </cell>
          <cell r="R775">
            <v>934800.15</v>
          </cell>
          <cell r="T775">
            <v>156010.19</v>
          </cell>
          <cell r="U775">
            <v>1090810.3400000001</v>
          </cell>
          <cell r="V775">
            <v>210728.13999999966</v>
          </cell>
        </row>
        <row r="776">
          <cell r="D776" t="str">
            <v>LASTRO DE CONCRETO</v>
          </cell>
          <cell r="I776" t="str">
            <v>01.016.001 - LASTRO DE CONCRETO</v>
          </cell>
          <cell r="J776" t="str">
            <v>3 - CUSTOS DIRETOS</v>
          </cell>
          <cell r="K776" t="str">
            <v>3 - CUSTOS DIRETOS1.016.001</v>
          </cell>
          <cell r="L776">
            <v>300525.42</v>
          </cell>
          <cell r="N776">
            <v>139095.39000000001</v>
          </cell>
          <cell r="O776">
            <v>0</v>
          </cell>
          <cell r="P776">
            <v>0</v>
          </cell>
          <cell r="Q776">
            <v>0</v>
          </cell>
          <cell r="R776">
            <v>139095.39000000001</v>
          </cell>
          <cell r="T776">
            <v>90524.91</v>
          </cell>
          <cell r="U776">
            <v>229620.30000000002</v>
          </cell>
          <cell r="V776">
            <v>70905.119999999966</v>
          </cell>
        </row>
        <row r="777">
          <cell r="D777" t="str">
            <v>Taliscamento Para Lastro De Concreto</v>
          </cell>
          <cell r="E777">
            <v>2618.38</v>
          </cell>
          <cell r="F777" t="str">
            <v>vb</v>
          </cell>
          <cell r="G777">
            <v>5029.12</v>
          </cell>
          <cell r="H777">
            <v>0</v>
          </cell>
          <cell r="I777" t="str">
            <v>01.016.001.001 - Taliscamento Para Lastro De Concreto</v>
          </cell>
          <cell r="J777" t="str">
            <v>3 - CUSTOS DIRETOS</v>
          </cell>
          <cell r="K777" t="str">
            <v>3 - CUSTOS DIRETOS1.016.001.001</v>
          </cell>
          <cell r="L777">
            <v>5029.12</v>
          </cell>
          <cell r="N777">
            <v>5827.88</v>
          </cell>
          <cell r="O777">
            <v>0</v>
          </cell>
          <cell r="P777">
            <v>0</v>
          </cell>
          <cell r="Q777">
            <v>0</v>
          </cell>
          <cell r="R777">
            <v>5827.88</v>
          </cell>
          <cell r="T777">
            <v>0</v>
          </cell>
          <cell r="U777">
            <v>5827.88</v>
          </cell>
          <cell r="V777">
            <v>-798.76000000000022</v>
          </cell>
        </row>
        <row r="778">
          <cell r="D778" t="str">
            <v>Lastro De Concreto, E=15Cm</v>
          </cell>
          <cell r="E778">
            <v>2618.38</v>
          </cell>
          <cell r="F778" t="str">
            <v>vb</v>
          </cell>
          <cell r="G778">
            <v>264279.38</v>
          </cell>
          <cell r="H778">
            <v>0</v>
          </cell>
          <cell r="I778" t="str">
            <v>01.016.001.002 - Lastro De Concreto, E=15Cm</v>
          </cell>
          <cell r="J778" t="str">
            <v>3 - CUSTOS DIRETOS</v>
          </cell>
          <cell r="K778" t="str">
            <v>3 - CUSTOS DIRETOS1.016.001.002</v>
          </cell>
          <cell r="L778">
            <v>264279.38</v>
          </cell>
          <cell r="N778">
            <v>123712.51</v>
          </cell>
          <cell r="O778">
            <v>0</v>
          </cell>
          <cell r="P778">
            <v>0</v>
          </cell>
          <cell r="Q778">
            <v>0</v>
          </cell>
          <cell r="R778">
            <v>123712.51</v>
          </cell>
          <cell r="T778">
            <v>68885.279999999999</v>
          </cell>
          <cell r="U778">
            <v>192597.78999999998</v>
          </cell>
          <cell r="V778">
            <v>71681.590000000026</v>
          </cell>
        </row>
        <row r="779">
          <cell r="D779" t="str">
            <v>Lançamento De Concreto</v>
          </cell>
          <cell r="E779">
            <v>432.03</v>
          </cell>
          <cell r="F779" t="str">
            <v>vb</v>
          </cell>
          <cell r="G779">
            <v>18577.29</v>
          </cell>
          <cell r="H779">
            <v>0</v>
          </cell>
          <cell r="I779" t="str">
            <v>01.016.001.003 - Lançamento De Concreto</v>
          </cell>
          <cell r="J779" t="str">
            <v>3 - CUSTOS DIRETOS</v>
          </cell>
          <cell r="K779" t="str">
            <v>3 - CUSTOS DIRETOS1.016.001.003</v>
          </cell>
          <cell r="L779">
            <v>18577.29</v>
          </cell>
          <cell r="N779">
            <v>9555</v>
          </cell>
          <cell r="O779">
            <v>0</v>
          </cell>
          <cell r="P779">
            <v>0</v>
          </cell>
          <cell r="Q779">
            <v>0</v>
          </cell>
          <cell r="R779">
            <v>9555</v>
          </cell>
          <cell r="T779">
            <v>9000</v>
          </cell>
          <cell r="U779">
            <v>18555</v>
          </cell>
          <cell r="V779">
            <v>22.290000000000873</v>
          </cell>
        </row>
        <row r="780">
          <cell r="D780" t="str">
            <v>Concreto Desempenado Com Pintura</v>
          </cell>
          <cell r="E780">
            <v>547.22</v>
          </cell>
          <cell r="F780" t="str">
            <v>vb</v>
          </cell>
          <cell r="G780">
            <v>12639.63</v>
          </cell>
          <cell r="H780">
            <v>0</v>
          </cell>
          <cell r="I780" t="str">
            <v>01.016.001.004 - Concreto Desempenado Com Pintura</v>
          </cell>
          <cell r="J780" t="str">
            <v>3 - CUSTOS DIRETOS</v>
          </cell>
          <cell r="K780" t="str">
            <v>3 - CUSTOS DIRETOS1.016.001.004</v>
          </cell>
          <cell r="L780">
            <v>12639.63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T780">
            <v>12639.63</v>
          </cell>
          <cell r="U780">
            <v>12639.63</v>
          </cell>
          <cell r="V780">
            <v>0</v>
          </cell>
        </row>
        <row r="781">
          <cell r="D781" t="str">
            <v>TALISCAMENTO DE CONTRAPISO</v>
          </cell>
          <cell r="I781" t="str">
            <v>01.016.002 - TALISCAMENTO DE CONTRAPISO</v>
          </cell>
          <cell r="J781" t="str">
            <v>3 - CUSTOS DIRETOS</v>
          </cell>
          <cell r="K781" t="str">
            <v>3 - CUSTOS DIRETOS1.016.002</v>
          </cell>
          <cell r="L781">
            <v>13352.909999999996</v>
          </cell>
          <cell r="N781">
            <v>23431.620000000003</v>
          </cell>
          <cell r="O781">
            <v>0</v>
          </cell>
          <cell r="P781">
            <v>0</v>
          </cell>
          <cell r="Q781">
            <v>0</v>
          </cell>
          <cell r="R781">
            <v>23431.620000000003</v>
          </cell>
          <cell r="T781">
            <v>895.28</v>
          </cell>
          <cell r="U781">
            <v>24326.9</v>
          </cell>
          <cell r="V781">
            <v>-10973.990000000005</v>
          </cell>
        </row>
        <row r="782">
          <cell r="D782" t="str">
            <v>Taliscamento De Contrapiso - Subsolo</v>
          </cell>
          <cell r="E782">
            <v>92.84</v>
          </cell>
          <cell r="F782" t="str">
            <v>vb</v>
          </cell>
          <cell r="G782">
            <v>196.63</v>
          </cell>
          <cell r="H782">
            <v>0</v>
          </cell>
          <cell r="I782" t="str">
            <v>01.016.002.001 - Taliscamento De Contrapiso - Subsolo</v>
          </cell>
          <cell r="J782" t="str">
            <v>3 - CUSTOS DIRETOS</v>
          </cell>
          <cell r="K782" t="str">
            <v>3 - CUSTOS DIRETOS1.016.002.001</v>
          </cell>
          <cell r="L782">
            <v>196.63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T782">
            <v>0</v>
          </cell>
          <cell r="U782">
            <v>0</v>
          </cell>
          <cell r="V782">
            <v>196.63</v>
          </cell>
        </row>
        <row r="783">
          <cell r="D783" t="str">
            <v>Taliscamento De Contrapiso - Térreo</v>
          </cell>
          <cell r="E783">
            <v>415.79</v>
          </cell>
          <cell r="F783" t="str">
            <v>vb</v>
          </cell>
          <cell r="G783">
            <v>880.6</v>
          </cell>
          <cell r="H783">
            <v>0</v>
          </cell>
          <cell r="I783" t="str">
            <v>01.016.002.002 - Taliscamento De Contrapiso - Térreo</v>
          </cell>
          <cell r="J783" t="str">
            <v>3 - CUSTOS DIRETOS</v>
          </cell>
          <cell r="K783" t="str">
            <v>3 - CUSTOS DIRETOS1.016.002.002</v>
          </cell>
          <cell r="L783">
            <v>880.6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T783">
            <v>880.6</v>
          </cell>
          <cell r="U783">
            <v>880.6</v>
          </cell>
          <cell r="V783">
            <v>0</v>
          </cell>
        </row>
        <row r="784">
          <cell r="D784" t="str">
            <v>Taliscamento De Contrapiso - 1º Pav. Tipo</v>
          </cell>
          <cell r="E784">
            <v>385.95</v>
          </cell>
          <cell r="F784" t="str">
            <v>vb</v>
          </cell>
          <cell r="G784">
            <v>817.4</v>
          </cell>
          <cell r="H784">
            <v>0</v>
          </cell>
          <cell r="I784" t="str">
            <v>01.016.002.003 - Taliscamento De Contrapiso - 1º Pav. Tipo</v>
          </cell>
          <cell r="J784" t="str">
            <v>3 - CUSTOS DIRETOS</v>
          </cell>
          <cell r="K784" t="str">
            <v>3 - CUSTOS DIRETOS1.016.002.003</v>
          </cell>
          <cell r="L784">
            <v>817.4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T784">
            <v>0</v>
          </cell>
          <cell r="U784">
            <v>0</v>
          </cell>
          <cell r="V784">
            <v>817.4</v>
          </cell>
        </row>
        <row r="785">
          <cell r="D785" t="str">
            <v>Taliscamento De Contrapiso - 2º Pav. Tipo</v>
          </cell>
          <cell r="E785">
            <v>385.95</v>
          </cell>
          <cell r="F785" t="str">
            <v>vb</v>
          </cell>
          <cell r="G785">
            <v>817.4</v>
          </cell>
          <cell r="H785">
            <v>0</v>
          </cell>
          <cell r="I785" t="str">
            <v>01.016.002.004 - Taliscamento De Contrapiso - 2º Pav. Tipo</v>
          </cell>
          <cell r="J785" t="str">
            <v>3 - CUSTOS DIRETOS</v>
          </cell>
          <cell r="K785" t="str">
            <v>3 - CUSTOS DIRETOS1.016.002.004</v>
          </cell>
          <cell r="L785">
            <v>817.4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T785">
            <v>0</v>
          </cell>
          <cell r="U785">
            <v>0</v>
          </cell>
          <cell r="V785">
            <v>817.4</v>
          </cell>
        </row>
        <row r="786">
          <cell r="D786" t="str">
            <v>Taliscamento De Contrapiso - 3º Pav. Tipo</v>
          </cell>
          <cell r="E786">
            <v>385.95</v>
          </cell>
          <cell r="F786" t="str">
            <v>vb</v>
          </cell>
          <cell r="G786">
            <v>817.4</v>
          </cell>
          <cell r="H786">
            <v>0</v>
          </cell>
          <cell r="I786" t="str">
            <v>01.016.002.005 - Taliscamento De Contrapiso - 3º Pav. Tipo</v>
          </cell>
          <cell r="J786" t="str">
            <v>3 - CUSTOS DIRETOS</v>
          </cell>
          <cell r="K786" t="str">
            <v>3 - CUSTOS DIRETOS1.016.002.005</v>
          </cell>
          <cell r="L786">
            <v>817.4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T786">
            <v>0</v>
          </cell>
          <cell r="U786">
            <v>0</v>
          </cell>
          <cell r="V786">
            <v>817.4</v>
          </cell>
        </row>
        <row r="787">
          <cell r="D787" t="str">
            <v>Taliscamento De Contrapiso - 4º Pav. Tipo</v>
          </cell>
          <cell r="E787">
            <v>385.95</v>
          </cell>
          <cell r="F787" t="str">
            <v>vb</v>
          </cell>
          <cell r="G787">
            <v>817.4</v>
          </cell>
          <cell r="H787">
            <v>0</v>
          </cell>
          <cell r="I787" t="str">
            <v>01.016.002.006 - Taliscamento De Contrapiso - 4º Pav. Tipo</v>
          </cell>
          <cell r="J787" t="str">
            <v>3 - CUSTOS DIRETOS</v>
          </cell>
          <cell r="K787" t="str">
            <v>3 - CUSTOS DIRETOS1.016.002.006</v>
          </cell>
          <cell r="L787">
            <v>817.4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T787">
            <v>0</v>
          </cell>
          <cell r="U787">
            <v>0</v>
          </cell>
          <cell r="V787">
            <v>817.4</v>
          </cell>
        </row>
        <row r="788">
          <cell r="D788" t="str">
            <v>Taliscamento De Contrapiso - 5º Pav. Tipo</v>
          </cell>
          <cell r="E788">
            <v>385.95</v>
          </cell>
          <cell r="F788" t="str">
            <v>vb</v>
          </cell>
          <cell r="G788">
            <v>817.4</v>
          </cell>
          <cell r="H788">
            <v>0</v>
          </cell>
          <cell r="I788" t="str">
            <v>01.016.002.007 - Taliscamento De Contrapiso - 5º Pav. Tipo</v>
          </cell>
          <cell r="J788" t="str">
            <v>3 - CUSTOS DIRETOS</v>
          </cell>
          <cell r="K788" t="str">
            <v>3 - CUSTOS DIRETOS1.016.002.007</v>
          </cell>
          <cell r="L788">
            <v>817.4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T788">
            <v>0</v>
          </cell>
          <cell r="U788">
            <v>0</v>
          </cell>
          <cell r="V788">
            <v>817.4</v>
          </cell>
        </row>
        <row r="789">
          <cell r="D789" t="str">
            <v>Taliscamento De Contrapiso - 6º Pav. Tipo</v>
          </cell>
          <cell r="E789">
            <v>385.95</v>
          </cell>
          <cell r="F789" t="str">
            <v>vb</v>
          </cell>
          <cell r="G789">
            <v>817.4</v>
          </cell>
          <cell r="H789">
            <v>0</v>
          </cell>
          <cell r="I789" t="str">
            <v>01.016.002.008 - Taliscamento De Contrapiso - 6º Pav. Tipo</v>
          </cell>
          <cell r="J789" t="str">
            <v>3 - CUSTOS DIRETOS</v>
          </cell>
          <cell r="K789" t="str">
            <v>3 - CUSTOS DIRETOS1.016.002.008</v>
          </cell>
          <cell r="L789">
            <v>817.4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T789">
            <v>0</v>
          </cell>
          <cell r="U789">
            <v>0</v>
          </cell>
          <cell r="V789">
            <v>817.4</v>
          </cell>
        </row>
        <row r="790">
          <cell r="D790" t="str">
            <v>Taliscamento De Contrapiso - 7º Pav. Tipo</v>
          </cell>
          <cell r="E790">
            <v>385.95</v>
          </cell>
          <cell r="F790" t="str">
            <v>vb</v>
          </cell>
          <cell r="G790">
            <v>817.4</v>
          </cell>
          <cell r="H790">
            <v>0</v>
          </cell>
          <cell r="I790" t="str">
            <v>01.016.002.009 - Taliscamento De Contrapiso - 7º Pav. Tipo</v>
          </cell>
          <cell r="J790" t="str">
            <v>3 - CUSTOS DIRETOS</v>
          </cell>
          <cell r="K790" t="str">
            <v>3 - CUSTOS DIRETOS1.016.002.009</v>
          </cell>
          <cell r="L790">
            <v>817.4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T790">
            <v>0</v>
          </cell>
          <cell r="U790">
            <v>0</v>
          </cell>
          <cell r="V790">
            <v>817.4</v>
          </cell>
        </row>
        <row r="791">
          <cell r="D791" t="str">
            <v>Taliscamento De Contrapiso - 8º Pav. Tipo</v>
          </cell>
          <cell r="E791">
            <v>385.95</v>
          </cell>
          <cell r="F791" t="str">
            <v>vb</v>
          </cell>
          <cell r="G791">
            <v>817.4</v>
          </cell>
          <cell r="H791">
            <v>0</v>
          </cell>
          <cell r="I791" t="str">
            <v>01.016.002.010 - Taliscamento De Contrapiso - 8º Pav. Tipo</v>
          </cell>
          <cell r="J791" t="str">
            <v>3 - CUSTOS DIRETOS</v>
          </cell>
          <cell r="K791" t="str">
            <v>3 - CUSTOS DIRETOS1.016.002.010</v>
          </cell>
          <cell r="L791">
            <v>817.4</v>
          </cell>
          <cell r="N791">
            <v>6894.670000000001</v>
          </cell>
          <cell r="O791">
            <v>0</v>
          </cell>
          <cell r="P791">
            <v>0</v>
          </cell>
          <cell r="Q791">
            <v>0</v>
          </cell>
          <cell r="R791">
            <v>6894.670000000001</v>
          </cell>
          <cell r="T791">
            <v>0</v>
          </cell>
          <cell r="U791">
            <v>6894.670000000001</v>
          </cell>
          <cell r="V791">
            <v>-6077.2700000000013</v>
          </cell>
        </row>
        <row r="792">
          <cell r="D792" t="str">
            <v>Taliscamento De Contrapiso - 9º Pav. Tipo</v>
          </cell>
          <cell r="E792">
            <v>385.95</v>
          </cell>
          <cell r="F792" t="str">
            <v>vb</v>
          </cell>
          <cell r="G792">
            <v>817.4</v>
          </cell>
          <cell r="H792">
            <v>0</v>
          </cell>
          <cell r="I792" t="str">
            <v>01.016.002.011 - Taliscamento De Contrapiso - 9º Pav. Tipo</v>
          </cell>
          <cell r="J792" t="str">
            <v>3 - CUSTOS DIRETOS</v>
          </cell>
          <cell r="K792" t="str">
            <v>3 - CUSTOS DIRETOS1.016.002.011</v>
          </cell>
          <cell r="L792">
            <v>817.4</v>
          </cell>
          <cell r="N792">
            <v>1335.58</v>
          </cell>
          <cell r="O792">
            <v>0</v>
          </cell>
          <cell r="P792">
            <v>0</v>
          </cell>
          <cell r="Q792">
            <v>0</v>
          </cell>
          <cell r="R792">
            <v>1335.58</v>
          </cell>
          <cell r="T792">
            <v>0</v>
          </cell>
          <cell r="U792">
            <v>1335.58</v>
          </cell>
          <cell r="V792">
            <v>-518.17999999999995</v>
          </cell>
        </row>
        <row r="793">
          <cell r="D793" t="str">
            <v>Taliscamento De Contrapiso - 10º Pav. Tipo</v>
          </cell>
          <cell r="E793">
            <v>385.95</v>
          </cell>
          <cell r="F793" t="str">
            <v>vb</v>
          </cell>
          <cell r="G793">
            <v>817.4</v>
          </cell>
          <cell r="H793">
            <v>0</v>
          </cell>
          <cell r="I793" t="str">
            <v>01.016.002.012 - Taliscamento De Contrapiso - 10º Pav. Tipo</v>
          </cell>
          <cell r="J793" t="str">
            <v>3 - CUSTOS DIRETOS</v>
          </cell>
          <cell r="K793" t="str">
            <v>3 - CUSTOS DIRETOS1.016.002.012</v>
          </cell>
          <cell r="L793">
            <v>817.4</v>
          </cell>
          <cell r="N793">
            <v>3593.45</v>
          </cell>
          <cell r="O793">
            <v>0</v>
          </cell>
          <cell r="P793">
            <v>0</v>
          </cell>
          <cell r="Q793">
            <v>0</v>
          </cell>
          <cell r="R793">
            <v>3593.45</v>
          </cell>
          <cell r="T793">
            <v>0</v>
          </cell>
          <cell r="U793">
            <v>3593.45</v>
          </cell>
          <cell r="V793">
            <v>-2776.0499999999997</v>
          </cell>
        </row>
        <row r="794">
          <cell r="D794" t="str">
            <v>Taliscamento De Contrapiso - 11º Pav. Tipo</v>
          </cell>
          <cell r="E794">
            <v>385.95</v>
          </cell>
          <cell r="F794" t="str">
            <v>vb</v>
          </cell>
          <cell r="G794">
            <v>817.4</v>
          </cell>
          <cell r="H794">
            <v>0</v>
          </cell>
          <cell r="I794" t="str">
            <v>01.016.002.013 - Taliscamento De Contrapiso - 11º Pav. Tipo</v>
          </cell>
          <cell r="J794" t="str">
            <v>3 - CUSTOS DIRETOS</v>
          </cell>
          <cell r="K794" t="str">
            <v>3 - CUSTOS DIRETOS1.016.002.013</v>
          </cell>
          <cell r="L794">
            <v>817.4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T794">
            <v>0</v>
          </cell>
          <cell r="U794">
            <v>0</v>
          </cell>
          <cell r="V794">
            <v>817.4</v>
          </cell>
        </row>
        <row r="795">
          <cell r="D795" t="str">
            <v>Taliscamento De Contrapiso - 12º Pav. Tipo</v>
          </cell>
          <cell r="E795">
            <v>385.95</v>
          </cell>
          <cell r="F795" t="str">
            <v>vb</v>
          </cell>
          <cell r="G795">
            <v>817.4</v>
          </cell>
          <cell r="H795">
            <v>0</v>
          </cell>
          <cell r="I795" t="str">
            <v>01.016.002.014 - Taliscamento De Contrapiso - 12º Pav. Tipo</v>
          </cell>
          <cell r="J795" t="str">
            <v>3 - CUSTOS DIRETOS</v>
          </cell>
          <cell r="K795" t="str">
            <v>3 - CUSTOS DIRETOS1.016.002.014</v>
          </cell>
          <cell r="L795">
            <v>817.4</v>
          </cell>
          <cell r="N795">
            <v>3280.27</v>
          </cell>
          <cell r="O795">
            <v>0</v>
          </cell>
          <cell r="P795">
            <v>0</v>
          </cell>
          <cell r="Q795">
            <v>0</v>
          </cell>
          <cell r="R795">
            <v>3280.27</v>
          </cell>
          <cell r="T795">
            <v>0</v>
          </cell>
          <cell r="U795">
            <v>3280.27</v>
          </cell>
          <cell r="V795">
            <v>-2462.87</v>
          </cell>
        </row>
        <row r="796">
          <cell r="D796" t="str">
            <v>Taliscamento De Contrapiso - 13º Pav. Tipo</v>
          </cell>
          <cell r="E796">
            <v>385.95</v>
          </cell>
          <cell r="F796" t="str">
            <v>vb</v>
          </cell>
          <cell r="G796">
            <v>817.4</v>
          </cell>
          <cell r="H796">
            <v>0</v>
          </cell>
          <cell r="I796" t="str">
            <v>01.016.002.015 - Taliscamento De Contrapiso - 13º Pav. Tipo</v>
          </cell>
          <cell r="J796" t="str">
            <v>3 - CUSTOS DIRETOS</v>
          </cell>
          <cell r="K796" t="str">
            <v>3 - CUSTOS DIRETOS1.016.002.015</v>
          </cell>
          <cell r="L796">
            <v>817.4</v>
          </cell>
          <cell r="N796">
            <v>4610.7</v>
          </cell>
          <cell r="O796">
            <v>0</v>
          </cell>
          <cell r="P796">
            <v>0</v>
          </cell>
          <cell r="Q796">
            <v>0</v>
          </cell>
          <cell r="R796">
            <v>4610.7</v>
          </cell>
          <cell r="T796">
            <v>0</v>
          </cell>
          <cell r="U796">
            <v>4610.7</v>
          </cell>
          <cell r="V796">
            <v>-3793.2999999999997</v>
          </cell>
        </row>
        <row r="797">
          <cell r="D797" t="str">
            <v>Taliscamento De Contrapiso - 14º Pav. Tipo</v>
          </cell>
          <cell r="E797">
            <v>385.95</v>
          </cell>
          <cell r="F797" t="str">
            <v>vb</v>
          </cell>
          <cell r="G797">
            <v>817.4</v>
          </cell>
          <cell r="H797">
            <v>0</v>
          </cell>
          <cell r="I797" t="str">
            <v>01.016.002.016 - Taliscamento De Contrapiso - 14º Pav. Tipo</v>
          </cell>
          <cell r="J797" t="str">
            <v>3 - CUSTOS DIRETOS</v>
          </cell>
          <cell r="K797" t="str">
            <v>3 - CUSTOS DIRETOS1.016.002.016</v>
          </cell>
          <cell r="L797">
            <v>817.4</v>
          </cell>
          <cell r="N797">
            <v>3716.95</v>
          </cell>
          <cell r="O797">
            <v>0</v>
          </cell>
          <cell r="P797">
            <v>0</v>
          </cell>
          <cell r="Q797">
            <v>0</v>
          </cell>
          <cell r="R797">
            <v>3716.95</v>
          </cell>
          <cell r="T797">
            <v>0</v>
          </cell>
          <cell r="U797">
            <v>3716.95</v>
          </cell>
          <cell r="V797">
            <v>-2899.5499999999997</v>
          </cell>
        </row>
        <row r="798">
          <cell r="D798" t="str">
            <v>Taliscamento De Contrapiso - 15º Pav. Tipo</v>
          </cell>
          <cell r="E798">
            <v>385.95</v>
          </cell>
          <cell r="F798" t="str">
            <v>vb</v>
          </cell>
          <cell r="G798">
            <v>817.4</v>
          </cell>
          <cell r="H798">
            <v>0</v>
          </cell>
          <cell r="I798" t="str">
            <v>01.016.002.017 - Taliscamento De Contrapiso - 15º Pav. Tipo</v>
          </cell>
          <cell r="J798" t="str">
            <v>3 - CUSTOS DIRETOS</v>
          </cell>
          <cell r="K798" t="str">
            <v>3 - CUSTOS DIRETOS1.016.002.017</v>
          </cell>
          <cell r="L798">
            <v>817.4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T798">
            <v>0</v>
          </cell>
          <cell r="U798">
            <v>0</v>
          </cell>
          <cell r="V798">
            <v>817.4</v>
          </cell>
        </row>
        <row r="799">
          <cell r="D799" t="str">
            <v>Taliscamento De Contrapiso - Cobertura</v>
          </cell>
          <cell r="E799">
            <v>6.93</v>
          </cell>
          <cell r="F799" t="str">
            <v>vb</v>
          </cell>
          <cell r="G799">
            <v>14.68</v>
          </cell>
          <cell r="H799">
            <v>0</v>
          </cell>
          <cell r="I799" t="str">
            <v>01.016.002.018 - Taliscamento De Contrapiso - Cobertura</v>
          </cell>
          <cell r="J799" t="str">
            <v>3 - CUSTOS DIRETOS</v>
          </cell>
          <cell r="K799" t="str">
            <v>3 - CUSTOS DIRETOS1.016.002.018</v>
          </cell>
          <cell r="L799">
            <v>14.68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T799">
            <v>14.68</v>
          </cell>
          <cell r="U799">
            <v>14.68</v>
          </cell>
          <cell r="V799">
            <v>0</v>
          </cell>
        </row>
        <row r="800">
          <cell r="D800" t="str">
            <v>CONTRAPISO "FAROFA"</v>
          </cell>
          <cell r="I800" t="str">
            <v>01.016.003 - CONTRAPISO "FAROFA"</v>
          </cell>
          <cell r="J800" t="str">
            <v>3 - CUSTOS DIRETOS</v>
          </cell>
          <cell r="K800" t="str">
            <v>3 - CUSTOS DIRETOS1.016.003</v>
          </cell>
          <cell r="L800">
            <v>284879.06999999989</v>
          </cell>
          <cell r="N800">
            <v>177513.29</v>
          </cell>
          <cell r="O800">
            <v>1411.21</v>
          </cell>
          <cell r="P800">
            <v>0</v>
          </cell>
          <cell r="Q800">
            <v>2741.52</v>
          </cell>
          <cell r="R800">
            <v>181666.02</v>
          </cell>
          <cell r="T800">
            <v>17376.550000000003</v>
          </cell>
          <cell r="U800">
            <v>199042.57</v>
          </cell>
          <cell r="V800">
            <v>85836.499999999884</v>
          </cell>
        </row>
        <row r="801">
          <cell r="D801" t="str">
            <v>Contrapiso "Farofa" - Subsolo</v>
          </cell>
          <cell r="E801">
            <v>92.84</v>
          </cell>
          <cell r="F801" t="str">
            <v>vb</v>
          </cell>
          <cell r="G801">
            <v>4194.92</v>
          </cell>
          <cell r="H801">
            <v>0</v>
          </cell>
          <cell r="I801" t="str">
            <v>01.016.003.001 - Contrapiso "Farofa" - Subsolo</v>
          </cell>
          <cell r="J801" t="str">
            <v>3 - CUSTOS DIRETOS</v>
          </cell>
          <cell r="K801" t="str">
            <v>3 - CUSTOS DIRETOS1.016.003.001</v>
          </cell>
          <cell r="L801">
            <v>4194.92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T801">
            <v>0</v>
          </cell>
          <cell r="U801">
            <v>0</v>
          </cell>
          <cell r="V801">
            <v>4194.92</v>
          </cell>
        </row>
        <row r="802">
          <cell r="D802" t="str">
            <v>Contrapiso "Farofa" - Térreo</v>
          </cell>
          <cell r="E802">
            <v>415.79</v>
          </cell>
          <cell r="F802" t="str">
            <v>vb</v>
          </cell>
          <cell r="G802">
            <v>18787.22</v>
          </cell>
          <cell r="H802">
            <v>0</v>
          </cell>
          <cell r="I802" t="str">
            <v>01.016.003.002 - Contrapiso "Farofa" - Térreo</v>
          </cell>
          <cell r="J802" t="str">
            <v>3 - CUSTOS DIRETOS</v>
          </cell>
          <cell r="K802" t="str">
            <v>3 - CUSTOS DIRETOS1.016.003.002</v>
          </cell>
          <cell r="L802">
            <v>18787.22</v>
          </cell>
          <cell r="N802">
            <v>940.27</v>
          </cell>
          <cell r="O802">
            <v>470.4</v>
          </cell>
          <cell r="P802">
            <v>0</v>
          </cell>
          <cell r="Q802">
            <v>0</v>
          </cell>
          <cell r="R802">
            <v>1410.67</v>
          </cell>
          <cell r="T802">
            <v>17376.550000000003</v>
          </cell>
          <cell r="U802">
            <v>18787.22</v>
          </cell>
          <cell r="V802">
            <v>0</v>
          </cell>
        </row>
        <row r="803">
          <cell r="D803" t="str">
            <v>Contrapiso "Farofa" - 1º Pav. Tipo</v>
          </cell>
          <cell r="E803">
            <v>385.95</v>
          </cell>
          <cell r="F803" t="str">
            <v>vb</v>
          </cell>
          <cell r="G803">
            <v>17438.919999999998</v>
          </cell>
          <cell r="H803">
            <v>0</v>
          </cell>
          <cell r="I803" t="str">
            <v>01.016.003.003 - Contrapiso "Farofa" - 1º Pav. Tipo</v>
          </cell>
          <cell r="J803" t="str">
            <v>3 - CUSTOS DIRETOS</v>
          </cell>
          <cell r="K803" t="str">
            <v>3 - CUSTOS DIRETOS1.016.003.003</v>
          </cell>
          <cell r="L803">
            <v>17438.919999999998</v>
          </cell>
          <cell r="N803">
            <v>7913.4600000000009</v>
          </cell>
          <cell r="O803">
            <v>0</v>
          </cell>
          <cell r="P803">
            <v>0</v>
          </cell>
          <cell r="Q803">
            <v>0</v>
          </cell>
          <cell r="R803">
            <v>7913.4600000000009</v>
          </cell>
          <cell r="T803">
            <v>0</v>
          </cell>
          <cell r="U803">
            <v>7913.4600000000009</v>
          </cell>
          <cell r="V803">
            <v>9525.4599999999973</v>
          </cell>
        </row>
        <row r="804">
          <cell r="D804" t="str">
            <v>Contrapiso "Farofa" - 2º Pav. Tipo</v>
          </cell>
          <cell r="E804">
            <v>385.95</v>
          </cell>
          <cell r="F804" t="str">
            <v>vb</v>
          </cell>
          <cell r="G804">
            <v>17438.919999999998</v>
          </cell>
          <cell r="H804">
            <v>0</v>
          </cell>
          <cell r="I804" t="str">
            <v>01.016.003.004 - Contrapiso "Farofa" - 2º Pav. Tipo</v>
          </cell>
          <cell r="J804" t="str">
            <v>3 - CUSTOS DIRETOS</v>
          </cell>
          <cell r="K804" t="str">
            <v>3 - CUSTOS DIRETOS1.016.003.004</v>
          </cell>
          <cell r="L804">
            <v>17438.919999999998</v>
          </cell>
          <cell r="N804">
            <v>12318.260000000002</v>
          </cell>
          <cell r="O804">
            <v>0</v>
          </cell>
          <cell r="P804">
            <v>0</v>
          </cell>
          <cell r="Q804">
            <v>0</v>
          </cell>
          <cell r="R804">
            <v>12318.260000000002</v>
          </cell>
          <cell r="T804">
            <v>0</v>
          </cell>
          <cell r="U804">
            <v>12318.260000000002</v>
          </cell>
          <cell r="V804">
            <v>5120.6599999999962</v>
          </cell>
        </row>
        <row r="805">
          <cell r="D805" t="str">
            <v>Contrapiso "Farofa" - 3º Pav. Tipo</v>
          </cell>
          <cell r="E805">
            <v>385.95</v>
          </cell>
          <cell r="F805" t="str">
            <v>vb</v>
          </cell>
          <cell r="G805">
            <v>17438.919999999998</v>
          </cell>
          <cell r="H805">
            <v>0</v>
          </cell>
          <cell r="I805" t="str">
            <v>01.016.003.005 - Contrapiso "Farofa" - 3º Pav. Tipo</v>
          </cell>
          <cell r="J805" t="str">
            <v>3 - CUSTOS DIRETOS</v>
          </cell>
          <cell r="K805" t="str">
            <v>3 - CUSTOS DIRETOS1.016.003.005</v>
          </cell>
          <cell r="L805">
            <v>17438.919999999998</v>
          </cell>
          <cell r="N805">
            <v>20978.62</v>
          </cell>
          <cell r="O805">
            <v>0</v>
          </cell>
          <cell r="P805">
            <v>0</v>
          </cell>
          <cell r="Q805">
            <v>0</v>
          </cell>
          <cell r="R805">
            <v>20978.62</v>
          </cell>
          <cell r="T805">
            <v>0</v>
          </cell>
          <cell r="U805">
            <v>20978.62</v>
          </cell>
          <cell r="V805">
            <v>-3539.7000000000007</v>
          </cell>
        </row>
        <row r="806">
          <cell r="D806" t="str">
            <v>Contrapiso "Farofa" - 4º Pav. Tipo</v>
          </cell>
          <cell r="E806">
            <v>385.95</v>
          </cell>
          <cell r="F806" t="str">
            <v>vb</v>
          </cell>
          <cell r="G806">
            <v>17438.919999999998</v>
          </cell>
          <cell r="H806">
            <v>0</v>
          </cell>
          <cell r="I806" t="str">
            <v>01.016.003.006 - Contrapiso "Farofa" - 4º Pav. Tipo</v>
          </cell>
          <cell r="J806" t="str">
            <v>3 - CUSTOS DIRETOS</v>
          </cell>
          <cell r="K806" t="str">
            <v>3 - CUSTOS DIRETOS1.016.003.006</v>
          </cell>
          <cell r="L806">
            <v>17438.919999999998</v>
          </cell>
          <cell r="N806">
            <v>11335.300000000001</v>
          </cell>
          <cell r="O806">
            <v>0</v>
          </cell>
          <cell r="P806">
            <v>0</v>
          </cell>
          <cell r="Q806">
            <v>0</v>
          </cell>
          <cell r="R806">
            <v>11335.300000000001</v>
          </cell>
          <cell r="T806">
            <v>0</v>
          </cell>
          <cell r="U806">
            <v>11335.300000000001</v>
          </cell>
          <cell r="V806">
            <v>6103.6199999999972</v>
          </cell>
        </row>
        <row r="807">
          <cell r="D807" t="str">
            <v>Contrapiso "Farofa" - 5º Pav. Tipo</v>
          </cell>
          <cell r="E807">
            <v>385.95</v>
          </cell>
          <cell r="F807" t="str">
            <v>vb</v>
          </cell>
          <cell r="G807">
            <v>17438.919999999998</v>
          </cell>
          <cell r="H807">
            <v>0</v>
          </cell>
          <cell r="I807" t="str">
            <v>01.016.003.007 - Contrapiso "Farofa" - 5º Pav. Tipo</v>
          </cell>
          <cell r="J807" t="str">
            <v>3 - CUSTOS DIRETOS</v>
          </cell>
          <cell r="K807" t="str">
            <v>3 - CUSTOS DIRETOS1.016.003.007</v>
          </cell>
          <cell r="L807">
            <v>17438.919999999998</v>
          </cell>
          <cell r="N807">
            <v>5867.9</v>
          </cell>
          <cell r="O807">
            <v>0</v>
          </cell>
          <cell r="P807">
            <v>0</v>
          </cell>
          <cell r="Q807">
            <v>0</v>
          </cell>
          <cell r="R807">
            <v>5867.9</v>
          </cell>
          <cell r="T807">
            <v>0</v>
          </cell>
          <cell r="U807">
            <v>5867.9</v>
          </cell>
          <cell r="V807">
            <v>11571.019999999999</v>
          </cell>
        </row>
        <row r="808">
          <cell r="D808" t="str">
            <v>Contrapiso "Farofa" - 6º Pav. Tipo</v>
          </cell>
          <cell r="E808">
            <v>385.95</v>
          </cell>
          <cell r="F808" t="str">
            <v>vb</v>
          </cell>
          <cell r="G808">
            <v>17438.919999999998</v>
          </cell>
          <cell r="H808">
            <v>0</v>
          </cell>
          <cell r="I808" t="str">
            <v>01.016.003.008 - Contrapiso "Farofa" - 6º Pav. Tipo</v>
          </cell>
          <cell r="J808" t="str">
            <v>3 - CUSTOS DIRETOS</v>
          </cell>
          <cell r="K808" t="str">
            <v>3 - CUSTOS DIRETOS1.016.003.008</v>
          </cell>
          <cell r="L808">
            <v>17438.919999999998</v>
          </cell>
          <cell r="N808">
            <v>21828.07</v>
          </cell>
          <cell r="O808">
            <v>0</v>
          </cell>
          <cell r="P808">
            <v>0</v>
          </cell>
          <cell r="Q808">
            <v>0</v>
          </cell>
          <cell r="R808">
            <v>21828.07</v>
          </cell>
          <cell r="T808">
            <v>0</v>
          </cell>
          <cell r="U808">
            <v>21828.07</v>
          </cell>
          <cell r="V808">
            <v>-4389.1500000000015</v>
          </cell>
        </row>
        <row r="809">
          <cell r="D809" t="str">
            <v>Contrapiso "Farofa" - 7º Pav. Tipo</v>
          </cell>
          <cell r="E809">
            <v>385.95</v>
          </cell>
          <cell r="F809" t="str">
            <v>vb</v>
          </cell>
          <cell r="G809">
            <v>17438.919999999998</v>
          </cell>
          <cell r="H809">
            <v>0</v>
          </cell>
          <cell r="I809" t="str">
            <v>01.016.003.009 - Contrapiso "Farofa" - 7º Pav. Tipo</v>
          </cell>
          <cell r="J809" t="str">
            <v>3 - CUSTOS DIRETOS</v>
          </cell>
          <cell r="K809" t="str">
            <v>3 - CUSTOS DIRETOS1.016.003.009</v>
          </cell>
          <cell r="L809">
            <v>17438.919999999998</v>
          </cell>
          <cell r="N809">
            <v>4366.47</v>
          </cell>
          <cell r="O809">
            <v>0</v>
          </cell>
          <cell r="P809">
            <v>0</v>
          </cell>
          <cell r="Q809">
            <v>0</v>
          </cell>
          <cell r="R809">
            <v>4366.47</v>
          </cell>
          <cell r="T809">
            <v>0</v>
          </cell>
          <cell r="U809">
            <v>4366.47</v>
          </cell>
          <cell r="V809">
            <v>13072.449999999997</v>
          </cell>
        </row>
        <row r="810">
          <cell r="D810" t="str">
            <v>Contrapiso "Farofa" - 8º Pav. Tipo</v>
          </cell>
          <cell r="E810">
            <v>385.95</v>
          </cell>
          <cell r="F810" t="str">
            <v>vb</v>
          </cell>
          <cell r="G810">
            <v>17438.919999999998</v>
          </cell>
          <cell r="H810">
            <v>0</v>
          </cell>
          <cell r="I810" t="str">
            <v>01.016.003.010 - Contrapiso "Farofa" - 8º Pav. Tipo</v>
          </cell>
          <cell r="J810" t="str">
            <v>3 - CUSTOS DIRETOS</v>
          </cell>
          <cell r="K810" t="str">
            <v>3 - CUSTOS DIRETOS1.016.003.010</v>
          </cell>
          <cell r="L810">
            <v>17438.919999999998</v>
          </cell>
          <cell r="N810">
            <v>7304.55</v>
          </cell>
          <cell r="O810">
            <v>0</v>
          </cell>
          <cell r="P810">
            <v>0</v>
          </cell>
          <cell r="Q810">
            <v>685.38</v>
          </cell>
          <cell r="R810">
            <v>7989.93</v>
          </cell>
          <cell r="T810">
            <v>0</v>
          </cell>
          <cell r="U810">
            <v>7989.93</v>
          </cell>
          <cell r="V810">
            <v>9448.989999999998</v>
          </cell>
        </row>
        <row r="811">
          <cell r="D811" t="str">
            <v>Contrapiso "Farofa" - 9º Pav. Tipo</v>
          </cell>
          <cell r="E811">
            <v>385.95</v>
          </cell>
          <cell r="F811" t="str">
            <v>vb</v>
          </cell>
          <cell r="G811">
            <v>17438.919999999998</v>
          </cell>
          <cell r="H811">
            <v>0</v>
          </cell>
          <cell r="I811" t="str">
            <v>01.016.003.011 - Contrapiso "Farofa" - 9º Pav. Tipo</v>
          </cell>
          <cell r="J811" t="str">
            <v>3 - CUSTOS DIRETOS</v>
          </cell>
          <cell r="K811" t="str">
            <v>3 - CUSTOS DIRETOS1.016.003.011</v>
          </cell>
          <cell r="L811">
            <v>17438.919999999998</v>
          </cell>
          <cell r="N811">
            <v>9.6800000000001774</v>
          </cell>
          <cell r="O811">
            <v>0</v>
          </cell>
          <cell r="P811">
            <v>0</v>
          </cell>
          <cell r="Q811">
            <v>685.38</v>
          </cell>
          <cell r="R811">
            <v>695.06000000000017</v>
          </cell>
          <cell r="T811">
            <v>0</v>
          </cell>
          <cell r="U811">
            <v>695.06000000000017</v>
          </cell>
          <cell r="V811">
            <v>16743.859999999997</v>
          </cell>
        </row>
        <row r="812">
          <cell r="D812" t="str">
            <v>Contrapiso "Farofa" - 10º Pav. Tipo</v>
          </cell>
          <cell r="E812">
            <v>385.95</v>
          </cell>
          <cell r="F812" t="str">
            <v>vb</v>
          </cell>
          <cell r="G812">
            <v>17438.919999999998</v>
          </cell>
          <cell r="H812">
            <v>0</v>
          </cell>
          <cell r="I812" t="str">
            <v>01.016.003.012 - Contrapiso "Farofa" - 10º Pav. Tipo</v>
          </cell>
          <cell r="J812" t="str">
            <v>3 - CUSTOS DIRETOS</v>
          </cell>
          <cell r="K812" t="str">
            <v>3 - CUSTOS DIRETOS1.016.003.012</v>
          </cell>
          <cell r="L812">
            <v>17438.919999999998</v>
          </cell>
          <cell r="N812">
            <v>8412.3500000000022</v>
          </cell>
          <cell r="O812">
            <v>0</v>
          </cell>
          <cell r="P812">
            <v>0</v>
          </cell>
          <cell r="Q812">
            <v>685.38</v>
          </cell>
          <cell r="R812">
            <v>9097.7300000000014</v>
          </cell>
          <cell r="T812">
            <v>0</v>
          </cell>
          <cell r="U812">
            <v>9097.7300000000014</v>
          </cell>
          <cell r="V812">
            <v>8341.1899999999969</v>
          </cell>
        </row>
        <row r="813">
          <cell r="D813" t="str">
            <v>Contrapiso "Farofa" - 11º Pav. Tipo</v>
          </cell>
          <cell r="E813">
            <v>385.95</v>
          </cell>
          <cell r="F813" t="str">
            <v>vb</v>
          </cell>
          <cell r="G813">
            <v>17438.919999999998</v>
          </cell>
          <cell r="H813">
            <v>0</v>
          </cell>
          <cell r="I813" t="str">
            <v>01.016.003.013 - Contrapiso "Farofa" - 11º Pav. Tipo</v>
          </cell>
          <cell r="J813" t="str">
            <v>3 - CUSTOS DIRETOS</v>
          </cell>
          <cell r="K813" t="str">
            <v>3 - CUSTOS DIRETOS1.016.003.013</v>
          </cell>
          <cell r="L813">
            <v>17438.919999999998</v>
          </cell>
          <cell r="N813">
            <v>7488.79</v>
          </cell>
          <cell r="O813">
            <v>0</v>
          </cell>
          <cell r="P813">
            <v>0</v>
          </cell>
          <cell r="Q813">
            <v>685.38</v>
          </cell>
          <cell r="R813">
            <v>8174.17</v>
          </cell>
          <cell r="T813">
            <v>0</v>
          </cell>
          <cell r="U813">
            <v>8174.17</v>
          </cell>
          <cell r="V813">
            <v>9264.7499999999982</v>
          </cell>
        </row>
        <row r="814">
          <cell r="D814" t="str">
            <v>Contrapiso "Farofa" - 12º Pav. Tipo</v>
          </cell>
          <cell r="E814">
            <v>385.95</v>
          </cell>
          <cell r="F814" t="str">
            <v>vb</v>
          </cell>
          <cell r="G814">
            <v>17438.919999999998</v>
          </cell>
          <cell r="H814">
            <v>0</v>
          </cell>
          <cell r="I814" t="str">
            <v>01.016.003.014 - Contrapiso "Farofa" - 12º Pav. Tipo</v>
          </cell>
          <cell r="J814" t="str">
            <v>3 - CUSTOS DIRETOS</v>
          </cell>
          <cell r="K814" t="str">
            <v>3 - CUSTOS DIRETOS1.016.003.014</v>
          </cell>
          <cell r="L814">
            <v>17438.919999999998</v>
          </cell>
          <cell r="N814">
            <v>9831.7800000000025</v>
          </cell>
          <cell r="O814">
            <v>0</v>
          </cell>
          <cell r="P814">
            <v>0</v>
          </cell>
          <cell r="Q814">
            <v>0</v>
          </cell>
          <cell r="R814">
            <v>9831.7800000000025</v>
          </cell>
          <cell r="T814">
            <v>0</v>
          </cell>
          <cell r="U814">
            <v>9831.7800000000025</v>
          </cell>
          <cell r="V814">
            <v>7607.1399999999958</v>
          </cell>
        </row>
        <row r="815">
          <cell r="D815" t="str">
            <v>Contrapiso "Farofa" - 13º Pav. Tipo</v>
          </cell>
          <cell r="E815">
            <v>385.95</v>
          </cell>
          <cell r="F815" t="str">
            <v>vb</v>
          </cell>
          <cell r="G815">
            <v>17438.919999999998</v>
          </cell>
          <cell r="H815">
            <v>0</v>
          </cell>
          <cell r="I815" t="str">
            <v>01.016.003.015 - Contrapiso "Farofa" - 13º Pav. Tipo</v>
          </cell>
          <cell r="J815" t="str">
            <v>3 - CUSTOS DIRETOS</v>
          </cell>
          <cell r="K815" t="str">
            <v>3 - CUSTOS DIRETOS1.016.003.015</v>
          </cell>
          <cell r="L815">
            <v>17438.919999999998</v>
          </cell>
          <cell r="N815">
            <v>7779.8899999999985</v>
          </cell>
          <cell r="O815">
            <v>0</v>
          </cell>
          <cell r="P815">
            <v>0</v>
          </cell>
          <cell r="Q815">
            <v>0</v>
          </cell>
          <cell r="R815">
            <v>7779.8899999999985</v>
          </cell>
          <cell r="T815">
            <v>0</v>
          </cell>
          <cell r="U815">
            <v>7779.8899999999985</v>
          </cell>
          <cell r="V815">
            <v>9659.0299999999988</v>
          </cell>
        </row>
        <row r="816">
          <cell r="D816" t="str">
            <v>Contrapiso "Farofa" - 14º Pav. Tipo</v>
          </cell>
          <cell r="E816">
            <v>385.95</v>
          </cell>
          <cell r="F816" t="str">
            <v>vb</v>
          </cell>
          <cell r="G816">
            <v>17438.919999999998</v>
          </cell>
          <cell r="H816">
            <v>0</v>
          </cell>
          <cell r="I816" t="str">
            <v>01.016.003.016 - Contrapiso "Farofa" - 14º Pav. Tipo</v>
          </cell>
          <cell r="J816" t="str">
            <v>3 - CUSTOS DIRETOS</v>
          </cell>
          <cell r="K816" t="str">
            <v>3 - CUSTOS DIRETOS1.016.003.016</v>
          </cell>
          <cell r="L816">
            <v>17438.919999999998</v>
          </cell>
          <cell r="N816">
            <v>14637.669999999998</v>
          </cell>
          <cell r="O816">
            <v>470.41</v>
          </cell>
          <cell r="P816">
            <v>0</v>
          </cell>
          <cell r="Q816">
            <v>0</v>
          </cell>
          <cell r="R816">
            <v>15108.079999999998</v>
          </cell>
          <cell r="T816">
            <v>0</v>
          </cell>
          <cell r="U816">
            <v>15108.079999999998</v>
          </cell>
          <cell r="V816">
            <v>2330.84</v>
          </cell>
        </row>
        <row r="817">
          <cell r="D817" t="str">
            <v>Contrapiso "Farofa" - 15º Pav. Tipo</v>
          </cell>
          <cell r="E817">
            <v>385.95</v>
          </cell>
          <cell r="F817" t="str">
            <v>vb</v>
          </cell>
          <cell r="G817">
            <v>17438.919999999998</v>
          </cell>
          <cell r="H817">
            <v>0</v>
          </cell>
          <cell r="I817" t="str">
            <v>01.016.003.017 - Contrapiso "Farofa" - 15º Pav. Tipo</v>
          </cell>
          <cell r="J817" t="str">
            <v>3 - CUSTOS DIRETOS</v>
          </cell>
          <cell r="K817" t="str">
            <v>3 - CUSTOS DIRETOS1.016.003.017</v>
          </cell>
          <cell r="L817">
            <v>17438.919999999998</v>
          </cell>
          <cell r="N817">
            <v>34303.39</v>
          </cell>
          <cell r="O817">
            <v>470.4</v>
          </cell>
          <cell r="P817">
            <v>0</v>
          </cell>
          <cell r="Q817">
            <v>0</v>
          </cell>
          <cell r="R817">
            <v>34773.79</v>
          </cell>
          <cell r="T817">
            <v>0</v>
          </cell>
          <cell r="U817">
            <v>34773.79</v>
          </cell>
          <cell r="V817">
            <v>-17334.870000000003</v>
          </cell>
        </row>
        <row r="818">
          <cell r="D818" t="str">
            <v>Contrapiso "Farofa" - Cobertura</v>
          </cell>
          <cell r="E818">
            <v>6.93</v>
          </cell>
          <cell r="F818" t="str">
            <v>vb</v>
          </cell>
          <cell r="G818">
            <v>313.13</v>
          </cell>
          <cell r="H818">
            <v>0</v>
          </cell>
          <cell r="I818" t="str">
            <v>01.016.003.018 - Contrapiso "Farofa" - Cobertura</v>
          </cell>
          <cell r="J818" t="str">
            <v>3 - CUSTOS DIRETOS</v>
          </cell>
          <cell r="K818" t="str">
            <v>3 - CUSTOS DIRETOS1.016.003.018</v>
          </cell>
          <cell r="L818">
            <v>313.13</v>
          </cell>
          <cell r="N818">
            <v>2196.84</v>
          </cell>
          <cell r="O818">
            <v>0</v>
          </cell>
          <cell r="P818">
            <v>0</v>
          </cell>
          <cell r="Q818">
            <v>0</v>
          </cell>
          <cell r="R818">
            <v>2196.84</v>
          </cell>
          <cell r="T818">
            <v>0</v>
          </cell>
          <cell r="U818">
            <v>2196.84</v>
          </cell>
          <cell r="V818">
            <v>-1883.71</v>
          </cell>
        </row>
        <row r="819">
          <cell r="D819" t="str">
            <v>PISO CERÂMICO / PORCELANATO</v>
          </cell>
          <cell r="I819" t="str">
            <v>01.016.004 - PISO CERÂMICO / PORCELANATO</v>
          </cell>
          <cell r="J819" t="str">
            <v>3 - CUSTOS DIRETOS</v>
          </cell>
          <cell r="K819" t="str">
            <v>3 - CUSTOS DIRETOS1.016.004</v>
          </cell>
          <cell r="L819">
            <v>647406.15</v>
          </cell>
          <cell r="N819">
            <v>518985.92999999993</v>
          </cell>
          <cell r="O819">
            <v>560</v>
          </cell>
          <cell r="P819">
            <v>53324.380000000005</v>
          </cell>
          <cell r="Q819">
            <v>10253.91</v>
          </cell>
          <cell r="R819">
            <v>583124.22</v>
          </cell>
          <cell r="T819">
            <v>25996.68</v>
          </cell>
          <cell r="U819">
            <v>609120.9</v>
          </cell>
          <cell r="V819">
            <v>38285.25</v>
          </cell>
        </row>
        <row r="820">
          <cell r="D820" t="str">
            <v>Porcelanato 60X60Cm - Subsolo</v>
          </cell>
          <cell r="E820">
            <v>0</v>
          </cell>
          <cell r="F820" t="str">
            <v>vb</v>
          </cell>
          <cell r="G820">
            <v>0</v>
          </cell>
          <cell r="H820">
            <v>0</v>
          </cell>
          <cell r="I820" t="str">
            <v>01.016.004.001 - Porcelanato 60X60Cm - Subsolo</v>
          </cell>
          <cell r="J820" t="str">
            <v>3 - CUSTOS DIRETOS</v>
          </cell>
          <cell r="K820" t="str">
            <v>3 - CUSTOS DIRETOS1.016.004.001</v>
          </cell>
          <cell r="L820">
            <v>0</v>
          </cell>
          <cell r="N820">
            <v>2644.5199999999995</v>
          </cell>
          <cell r="O820">
            <v>0</v>
          </cell>
          <cell r="P820">
            <v>0</v>
          </cell>
          <cell r="Q820">
            <v>0</v>
          </cell>
          <cell r="R820">
            <v>2644.5199999999995</v>
          </cell>
          <cell r="T820">
            <v>0</v>
          </cell>
          <cell r="U820">
            <v>2644.5199999999995</v>
          </cell>
          <cell r="V820">
            <v>-2644.5199999999995</v>
          </cell>
        </row>
        <row r="821">
          <cell r="D821" t="str">
            <v>Porcelanato 60X60Cm - Térreo</v>
          </cell>
          <cell r="E821">
            <v>266.3</v>
          </cell>
          <cell r="F821" t="str">
            <v>vb</v>
          </cell>
          <cell r="G821">
            <v>28470.45</v>
          </cell>
          <cell r="H821">
            <v>0</v>
          </cell>
          <cell r="I821" t="str">
            <v>01.016.004.002 - Porcelanato 60X60Cm - Térreo</v>
          </cell>
          <cell r="J821" t="str">
            <v>3 - CUSTOS DIRETOS</v>
          </cell>
          <cell r="K821" t="str">
            <v>3 - CUSTOS DIRETOS1.016.004.002</v>
          </cell>
          <cell r="L821">
            <v>28470.45</v>
          </cell>
          <cell r="N821">
            <v>2893.8099999999995</v>
          </cell>
          <cell r="O821">
            <v>0</v>
          </cell>
          <cell r="P821">
            <v>0</v>
          </cell>
          <cell r="Q821">
            <v>0</v>
          </cell>
          <cell r="R821">
            <v>2893.8099999999995</v>
          </cell>
          <cell r="T821">
            <v>25576.639999999999</v>
          </cell>
          <cell r="U821">
            <v>28470.449999999997</v>
          </cell>
          <cell r="V821">
            <v>0</v>
          </cell>
        </row>
        <row r="822">
          <cell r="D822" t="str">
            <v>Porcelanato 60X60Cm - 1º Pav. Tipo</v>
          </cell>
          <cell r="E822">
            <v>385.95</v>
          </cell>
          <cell r="F822" t="str">
            <v>vb</v>
          </cell>
          <cell r="G822">
            <v>41262.379999999997</v>
          </cell>
          <cell r="H822">
            <v>0</v>
          </cell>
          <cell r="I822" t="str">
            <v>01.016.004.003 - Porcelanato 60X60Cm - 1º Pav. Tipo</v>
          </cell>
          <cell r="J822" t="str">
            <v>3 - CUSTOS DIRETOS</v>
          </cell>
          <cell r="K822" t="str">
            <v>3 - CUSTOS DIRETOS1.016.004.003</v>
          </cell>
          <cell r="L822">
            <v>41262.379999999997</v>
          </cell>
          <cell r="N822">
            <v>38981.439999999995</v>
          </cell>
          <cell r="O822">
            <v>35</v>
          </cell>
          <cell r="P822">
            <v>6401.17</v>
          </cell>
          <cell r="Q822">
            <v>14.66</v>
          </cell>
          <cell r="R822">
            <v>45432.27</v>
          </cell>
          <cell r="T822">
            <v>0</v>
          </cell>
          <cell r="U822">
            <v>45432.27</v>
          </cell>
          <cell r="V822">
            <v>-4169.8899999999994</v>
          </cell>
        </row>
        <row r="823">
          <cell r="D823" t="str">
            <v>Porcelanato 60X60Cm - 2º Pav. Tipo</v>
          </cell>
          <cell r="E823">
            <v>385.95</v>
          </cell>
          <cell r="F823" t="str">
            <v>vb</v>
          </cell>
          <cell r="G823">
            <v>41262.379999999997</v>
          </cell>
          <cell r="H823">
            <v>0</v>
          </cell>
          <cell r="I823" t="str">
            <v>01.016.004.004 - Porcelanato 60X60Cm - 2º Pav. Tipo</v>
          </cell>
          <cell r="J823" t="str">
            <v>3 - CUSTOS DIRETOS</v>
          </cell>
          <cell r="K823" t="str">
            <v>3 - CUSTOS DIRETOS1.016.004.004</v>
          </cell>
          <cell r="L823">
            <v>41262.379999999997</v>
          </cell>
          <cell r="N823">
            <v>36766.49</v>
          </cell>
          <cell r="O823">
            <v>35</v>
          </cell>
          <cell r="P823">
            <v>567.79</v>
          </cell>
          <cell r="Q823">
            <v>14.66</v>
          </cell>
          <cell r="R823">
            <v>37383.94</v>
          </cell>
          <cell r="T823">
            <v>0</v>
          </cell>
          <cell r="U823">
            <v>37383.94</v>
          </cell>
          <cell r="V823">
            <v>3878.4399999999951</v>
          </cell>
        </row>
        <row r="824">
          <cell r="D824" t="str">
            <v>Porcelanato 60X60Cm - 3º Pav. Tipo</v>
          </cell>
          <cell r="E824">
            <v>385.95</v>
          </cell>
          <cell r="F824" t="str">
            <v>vb</v>
          </cell>
          <cell r="G824">
            <v>41262.379999999997</v>
          </cell>
          <cell r="H824">
            <v>0</v>
          </cell>
          <cell r="I824" t="str">
            <v>01.016.004.005 - Porcelanato 60X60Cm - 3º Pav. Tipo</v>
          </cell>
          <cell r="J824" t="str">
            <v>3 - CUSTOS DIRETOS</v>
          </cell>
          <cell r="K824" t="str">
            <v>3 - CUSTOS DIRETOS1.016.004.005</v>
          </cell>
          <cell r="L824">
            <v>41262.379999999997</v>
          </cell>
          <cell r="N824">
            <v>36431.269999999997</v>
          </cell>
          <cell r="O824">
            <v>35</v>
          </cell>
          <cell r="P824">
            <v>917.80000000000007</v>
          </cell>
          <cell r="Q824">
            <v>14.66</v>
          </cell>
          <cell r="R824">
            <v>37398.730000000003</v>
          </cell>
          <cell r="T824">
            <v>0</v>
          </cell>
          <cell r="U824">
            <v>37398.730000000003</v>
          </cell>
          <cell r="V824">
            <v>3863.6499999999942</v>
          </cell>
        </row>
        <row r="825">
          <cell r="D825" t="str">
            <v>Porcelanato 60X60Cm - 4º Pav. Tipo</v>
          </cell>
          <cell r="E825">
            <v>385.95</v>
          </cell>
          <cell r="F825" t="str">
            <v>vb</v>
          </cell>
          <cell r="G825">
            <v>41262.379999999997</v>
          </cell>
          <cell r="H825">
            <v>0</v>
          </cell>
          <cell r="I825" t="str">
            <v>01.016.004.006 - Porcelanato 60X60Cm - 4º Pav. Tipo</v>
          </cell>
          <cell r="J825" t="str">
            <v>3 - CUSTOS DIRETOS</v>
          </cell>
          <cell r="K825" t="str">
            <v>3 - CUSTOS DIRETOS1.016.004.006</v>
          </cell>
          <cell r="L825">
            <v>41262.379999999997</v>
          </cell>
          <cell r="N825">
            <v>37334.75</v>
          </cell>
          <cell r="O825">
            <v>35</v>
          </cell>
          <cell r="P825">
            <v>0</v>
          </cell>
          <cell r="Q825">
            <v>14.66</v>
          </cell>
          <cell r="R825">
            <v>37384.410000000003</v>
          </cell>
          <cell r="T825">
            <v>0</v>
          </cell>
          <cell r="U825">
            <v>37384.410000000003</v>
          </cell>
          <cell r="V825">
            <v>3877.9699999999939</v>
          </cell>
        </row>
        <row r="826">
          <cell r="D826" t="str">
            <v>Porcelanato 60X60Cm - 5º Pav. Tipo</v>
          </cell>
          <cell r="E826">
            <v>385.95</v>
          </cell>
          <cell r="F826" t="str">
            <v>vb</v>
          </cell>
          <cell r="G826">
            <v>41262.379999999997</v>
          </cell>
          <cell r="H826">
            <v>0</v>
          </cell>
          <cell r="I826" t="str">
            <v>01.016.004.007 - Porcelanato 60X60Cm - 5º Pav. Tipo</v>
          </cell>
          <cell r="J826" t="str">
            <v>3 - CUSTOS DIRETOS</v>
          </cell>
          <cell r="K826" t="str">
            <v>3 - CUSTOS DIRETOS1.016.004.007</v>
          </cell>
          <cell r="L826">
            <v>41262.379999999997</v>
          </cell>
          <cell r="N826">
            <v>37115.780000000006</v>
          </cell>
          <cell r="O826">
            <v>35</v>
          </cell>
          <cell r="P826">
            <v>1305.29</v>
          </cell>
          <cell r="Q826">
            <v>14.66</v>
          </cell>
          <cell r="R826">
            <v>38470.73000000001</v>
          </cell>
          <cell r="T826">
            <v>0</v>
          </cell>
          <cell r="U826">
            <v>38470.73000000001</v>
          </cell>
          <cell r="V826">
            <v>2791.6499999999869</v>
          </cell>
        </row>
        <row r="827">
          <cell r="D827" t="str">
            <v>Porcelanato 60X60Cm - 6º Pav. Tipo</v>
          </cell>
          <cell r="E827">
            <v>385.95</v>
          </cell>
          <cell r="F827" t="str">
            <v>vb</v>
          </cell>
          <cell r="G827">
            <v>41262.379999999997</v>
          </cell>
          <cell r="H827">
            <v>0</v>
          </cell>
          <cell r="I827" t="str">
            <v>01.016.004.008 - Porcelanato 60X60Cm - 6º Pav. Tipo</v>
          </cell>
          <cell r="J827" t="str">
            <v>3 - CUSTOS DIRETOS</v>
          </cell>
          <cell r="K827" t="str">
            <v>3 - CUSTOS DIRETOS1.016.004.008</v>
          </cell>
          <cell r="L827">
            <v>41262.379999999997</v>
          </cell>
          <cell r="N827">
            <v>37996.599999999991</v>
          </cell>
          <cell r="O827">
            <v>35</v>
          </cell>
          <cell r="P827">
            <v>549.29</v>
          </cell>
          <cell r="Q827">
            <v>14.66</v>
          </cell>
          <cell r="R827">
            <v>38595.549999999996</v>
          </cell>
          <cell r="T827">
            <v>0</v>
          </cell>
          <cell r="U827">
            <v>38595.549999999996</v>
          </cell>
          <cell r="V827">
            <v>2666.8300000000017</v>
          </cell>
        </row>
        <row r="828">
          <cell r="D828" t="str">
            <v>Porcelanato 60X60Cm - 7º Pav. Tipo</v>
          </cell>
          <cell r="E828">
            <v>385.95</v>
          </cell>
          <cell r="F828" t="str">
            <v>vb</v>
          </cell>
          <cell r="G828">
            <v>41262.379999999997</v>
          </cell>
          <cell r="H828">
            <v>0</v>
          </cell>
          <cell r="I828" t="str">
            <v>01.016.004.009 - Porcelanato 60X60Cm - 7º Pav. Tipo</v>
          </cell>
          <cell r="J828" t="str">
            <v>3 - CUSTOS DIRETOS</v>
          </cell>
          <cell r="K828" t="str">
            <v>3 - CUSTOS DIRETOS1.016.004.009</v>
          </cell>
          <cell r="L828">
            <v>41262.379999999997</v>
          </cell>
          <cell r="N828">
            <v>35324.189999999995</v>
          </cell>
          <cell r="O828">
            <v>35</v>
          </cell>
          <cell r="P828">
            <v>549.29</v>
          </cell>
          <cell r="Q828">
            <v>14.66</v>
          </cell>
          <cell r="R828">
            <v>35923.14</v>
          </cell>
          <cell r="T828">
            <v>0</v>
          </cell>
          <cell r="U828">
            <v>35923.14</v>
          </cell>
          <cell r="V828">
            <v>5339.239999999998</v>
          </cell>
        </row>
        <row r="829">
          <cell r="D829" t="str">
            <v>Porcelanato 60X60Cm - 8º Pav. Tipo</v>
          </cell>
          <cell r="E829">
            <v>385.95</v>
          </cell>
          <cell r="F829" t="str">
            <v>vb</v>
          </cell>
          <cell r="G829">
            <v>41262.379999999997</v>
          </cell>
          <cell r="H829">
            <v>0</v>
          </cell>
          <cell r="I829" t="str">
            <v>01.016.004.010 - Porcelanato 60X60Cm - 8º Pav. Tipo</v>
          </cell>
          <cell r="J829" t="str">
            <v>3 - CUSTOS DIRETOS</v>
          </cell>
          <cell r="K829" t="str">
            <v>3 - CUSTOS DIRETOS1.016.004.010</v>
          </cell>
          <cell r="L829">
            <v>41262.379999999997</v>
          </cell>
          <cell r="N829">
            <v>35372.419999999991</v>
          </cell>
          <cell r="O829">
            <v>35</v>
          </cell>
          <cell r="P829">
            <v>549.29</v>
          </cell>
          <cell r="Q829">
            <v>14.66</v>
          </cell>
          <cell r="R829">
            <v>35971.369999999995</v>
          </cell>
          <cell r="T829">
            <v>0</v>
          </cell>
          <cell r="U829">
            <v>35971.369999999995</v>
          </cell>
          <cell r="V829">
            <v>5291.010000000002</v>
          </cell>
        </row>
        <row r="830">
          <cell r="D830" t="str">
            <v>Porcelanato 60X60Cm - 9º Pav. Tipo</v>
          </cell>
          <cell r="E830">
            <v>385.95</v>
          </cell>
          <cell r="F830" t="str">
            <v>vb</v>
          </cell>
          <cell r="G830">
            <v>41262.379999999997</v>
          </cell>
          <cell r="H830">
            <v>0</v>
          </cell>
          <cell r="I830" t="str">
            <v>01.016.004.011 - Porcelanato 60X60Cm - 9º Pav. Tipo</v>
          </cell>
          <cell r="J830" t="str">
            <v>3 - CUSTOS DIRETOS</v>
          </cell>
          <cell r="K830" t="str">
            <v>3 - CUSTOS DIRETOS1.016.004.011</v>
          </cell>
          <cell r="L830">
            <v>41262.379999999997</v>
          </cell>
          <cell r="N830">
            <v>35597.899999999994</v>
          </cell>
          <cell r="O830">
            <v>35</v>
          </cell>
          <cell r="P830">
            <v>549.29</v>
          </cell>
          <cell r="Q830">
            <v>14.66</v>
          </cell>
          <cell r="R830">
            <v>36196.85</v>
          </cell>
          <cell r="T830">
            <v>0</v>
          </cell>
          <cell r="U830">
            <v>36196.85</v>
          </cell>
          <cell r="V830">
            <v>5065.5299999999988</v>
          </cell>
        </row>
        <row r="831">
          <cell r="D831" t="str">
            <v>Porcelanato 60X60Cm - 10º Pav. Tipo</v>
          </cell>
          <cell r="E831">
            <v>385.95</v>
          </cell>
          <cell r="F831" t="str">
            <v>vb</v>
          </cell>
          <cell r="G831">
            <v>41262.379999999997</v>
          </cell>
          <cell r="H831">
            <v>0</v>
          </cell>
          <cell r="I831" t="str">
            <v>01.016.004.012 - Porcelanato 60X60Cm - 10º Pav. Tipo</v>
          </cell>
          <cell r="J831" t="str">
            <v>3 - CUSTOS DIRETOS</v>
          </cell>
          <cell r="K831" t="str">
            <v>3 - CUSTOS DIRETOS1.016.004.012</v>
          </cell>
          <cell r="L831">
            <v>41262.379999999997</v>
          </cell>
          <cell r="N831">
            <v>35883.49</v>
          </cell>
          <cell r="O831">
            <v>35</v>
          </cell>
          <cell r="P831">
            <v>531.29</v>
          </cell>
          <cell r="Q831">
            <v>14.66</v>
          </cell>
          <cell r="R831">
            <v>36464.44</v>
          </cell>
          <cell r="T831">
            <v>0</v>
          </cell>
          <cell r="U831">
            <v>36464.44</v>
          </cell>
          <cell r="V831">
            <v>4797.9399999999951</v>
          </cell>
        </row>
        <row r="832">
          <cell r="D832" t="str">
            <v>Porcelanato 60X60Cm - 11º Pav. Tipo</v>
          </cell>
          <cell r="E832">
            <v>385.95</v>
          </cell>
          <cell r="F832" t="str">
            <v>vb</v>
          </cell>
          <cell r="G832">
            <v>41262.379999999997</v>
          </cell>
          <cell r="H832">
            <v>0</v>
          </cell>
          <cell r="I832" t="str">
            <v>01.016.004.013 - Porcelanato 60X60Cm - 11º Pav. Tipo</v>
          </cell>
          <cell r="J832" t="str">
            <v>3 - CUSTOS DIRETOS</v>
          </cell>
          <cell r="K832" t="str">
            <v>3 - CUSTOS DIRETOS1.016.004.013</v>
          </cell>
          <cell r="L832">
            <v>41262.379999999997</v>
          </cell>
          <cell r="N832">
            <v>35462.68</v>
          </cell>
          <cell r="O832">
            <v>35</v>
          </cell>
          <cell r="P832">
            <v>549.29</v>
          </cell>
          <cell r="Q832">
            <v>14.66</v>
          </cell>
          <cell r="R832">
            <v>36061.630000000005</v>
          </cell>
          <cell r="T832">
            <v>0</v>
          </cell>
          <cell r="U832">
            <v>36061.630000000005</v>
          </cell>
          <cell r="V832">
            <v>5200.7499999999927</v>
          </cell>
        </row>
        <row r="833">
          <cell r="D833" t="str">
            <v>Porcelanato 60X60Cm - 12º Pav. Tipo</v>
          </cell>
          <cell r="E833">
            <v>385.95</v>
          </cell>
          <cell r="F833" t="str">
            <v>vb</v>
          </cell>
          <cell r="G833">
            <v>41262.379999999997</v>
          </cell>
          <cell r="H833">
            <v>0</v>
          </cell>
          <cell r="I833" t="str">
            <v>01.016.004.014 - Porcelanato 60X60Cm - 12º Pav. Tipo</v>
          </cell>
          <cell r="J833" t="str">
            <v>3 - CUSTOS DIRETOS</v>
          </cell>
          <cell r="K833" t="str">
            <v>3 - CUSTOS DIRETOS1.016.004.014</v>
          </cell>
          <cell r="L833">
            <v>41262.379999999997</v>
          </cell>
          <cell r="N833">
            <v>37972.120000000003</v>
          </cell>
          <cell r="O833">
            <v>35</v>
          </cell>
          <cell r="P833">
            <v>549.29</v>
          </cell>
          <cell r="Q833">
            <v>14.66</v>
          </cell>
          <cell r="R833">
            <v>38571.070000000007</v>
          </cell>
          <cell r="T833">
            <v>0</v>
          </cell>
          <cell r="U833">
            <v>38571.070000000007</v>
          </cell>
          <cell r="V833">
            <v>2691.3099999999904</v>
          </cell>
        </row>
        <row r="834">
          <cell r="D834" t="str">
            <v>Porcelanato 60X60Cm - 13º Pav. Tipo</v>
          </cell>
          <cell r="E834">
            <v>385.95</v>
          </cell>
          <cell r="F834" t="str">
            <v>vb</v>
          </cell>
          <cell r="G834">
            <v>41262.379999999997</v>
          </cell>
          <cell r="H834">
            <v>0</v>
          </cell>
          <cell r="I834" t="str">
            <v>01.016.004.015 - Porcelanato 60X60Cm - 13º Pav. Tipo</v>
          </cell>
          <cell r="J834" t="str">
            <v>3 - CUSTOS DIRETOS</v>
          </cell>
          <cell r="K834" t="str">
            <v>3 - CUSTOS DIRETOS1.016.004.015</v>
          </cell>
          <cell r="L834">
            <v>41262.379999999997</v>
          </cell>
          <cell r="N834">
            <v>23311.039999999997</v>
          </cell>
          <cell r="O834">
            <v>35</v>
          </cell>
          <cell r="P834">
            <v>13435.1</v>
          </cell>
          <cell r="Q834">
            <v>3359.33</v>
          </cell>
          <cell r="R834">
            <v>40140.47</v>
          </cell>
          <cell r="T834">
            <v>0</v>
          </cell>
          <cell r="U834">
            <v>40140.47</v>
          </cell>
          <cell r="V834">
            <v>1121.9099999999962</v>
          </cell>
        </row>
        <row r="835">
          <cell r="D835" t="str">
            <v>Porcelanato 60X60Cm - 14º Pav. Tipo</v>
          </cell>
          <cell r="E835">
            <v>385.95</v>
          </cell>
          <cell r="F835" t="str">
            <v>vb</v>
          </cell>
          <cell r="G835">
            <v>41262.379999999997</v>
          </cell>
          <cell r="H835">
            <v>0</v>
          </cell>
          <cell r="I835" t="str">
            <v>01.016.004.016 - Porcelanato 60X60Cm - 14º Pav. Tipo</v>
          </cell>
          <cell r="J835" t="str">
            <v>3 - CUSTOS DIRETOS</v>
          </cell>
          <cell r="K835" t="str">
            <v>3 - CUSTOS DIRETOS1.016.004.016</v>
          </cell>
          <cell r="L835">
            <v>41262.379999999997</v>
          </cell>
          <cell r="N835">
            <v>25302.639999999996</v>
          </cell>
          <cell r="O835">
            <v>35</v>
          </cell>
          <cell r="P835">
            <v>13435.1</v>
          </cell>
          <cell r="Q835">
            <v>3359.33</v>
          </cell>
          <cell r="R835">
            <v>42132.07</v>
          </cell>
          <cell r="T835">
            <v>0</v>
          </cell>
          <cell r="U835">
            <v>42132.07</v>
          </cell>
          <cell r="V835">
            <v>-869.69000000000233</v>
          </cell>
        </row>
        <row r="836">
          <cell r="D836" t="str">
            <v>Porcelanato 60X60Cm - 15º Pav. Tipo</v>
          </cell>
          <cell r="E836">
            <v>385.95</v>
          </cell>
          <cell r="F836" t="str">
            <v>vb</v>
          </cell>
          <cell r="G836">
            <v>41262.379999999997</v>
          </cell>
          <cell r="H836">
            <v>0</v>
          </cell>
          <cell r="I836" t="str">
            <v>01.016.004.017 - Porcelanato 60X60Cm - 15º Pav. Tipo</v>
          </cell>
          <cell r="J836" t="str">
            <v>3 - CUSTOS DIRETOS</v>
          </cell>
          <cell r="K836" t="str">
            <v>3 - CUSTOS DIRETOS1.016.004.017</v>
          </cell>
          <cell r="L836">
            <v>41262.379999999997</v>
          </cell>
          <cell r="N836">
            <v>25049.829999999998</v>
          </cell>
          <cell r="O836">
            <v>35</v>
          </cell>
          <cell r="P836">
            <v>13435.1</v>
          </cell>
          <cell r="Q836">
            <v>3359.33</v>
          </cell>
          <cell r="R836">
            <v>41879.26</v>
          </cell>
          <cell r="T836">
            <v>0</v>
          </cell>
          <cell r="U836">
            <v>41879.26</v>
          </cell>
          <cell r="V836">
            <v>-616.88000000000466</v>
          </cell>
        </row>
        <row r="837">
          <cell r="D837" t="str">
            <v>Porcelanato 60X60Cm - Cobertura</v>
          </cell>
          <cell r="E837">
            <v>0</v>
          </cell>
          <cell r="F837" t="str">
            <v>vb</v>
          </cell>
          <cell r="G837">
            <v>0</v>
          </cell>
          <cell r="H837">
            <v>0</v>
          </cell>
          <cell r="I837" t="str">
            <v>01.016.004.018 - Porcelanato 60X60Cm - Cobertura</v>
          </cell>
          <cell r="J837" t="str">
            <v>3 - CUSTOS DIRETOS</v>
          </cell>
          <cell r="K837" t="str">
            <v>3 - CUSTOS DIRETOS1.016.004.018</v>
          </cell>
          <cell r="L837">
            <v>0</v>
          </cell>
          <cell r="N837">
            <v>-455.04000000000013</v>
          </cell>
          <cell r="O837">
            <v>35</v>
          </cell>
          <cell r="P837">
            <v>0</v>
          </cell>
          <cell r="Q837">
            <v>0</v>
          </cell>
          <cell r="R837">
            <v>-420.04000000000013</v>
          </cell>
          <cell r="T837">
            <v>420.04000000000013</v>
          </cell>
          <cell r="U837">
            <v>0</v>
          </cell>
          <cell r="V837">
            <v>0</v>
          </cell>
        </row>
        <row r="838">
          <cell r="D838" t="str">
            <v>PISO DIVERSOS</v>
          </cell>
          <cell r="I838" t="str">
            <v>01.016.005 - PISO DIVERSOS</v>
          </cell>
          <cell r="J838" t="str">
            <v>3 - CUSTOS DIRETOS</v>
          </cell>
          <cell r="K838" t="str">
            <v>3 - CUSTOS DIRETOS1.016.005</v>
          </cell>
          <cell r="L838">
            <v>21216.77</v>
          </cell>
          <cell r="N838">
            <v>7482.9</v>
          </cell>
          <cell r="O838">
            <v>0</v>
          </cell>
          <cell r="P838">
            <v>0</v>
          </cell>
          <cell r="Q838">
            <v>0</v>
          </cell>
          <cell r="R838">
            <v>7482.9</v>
          </cell>
          <cell r="T838">
            <v>21216.77</v>
          </cell>
          <cell r="U838">
            <v>28699.67</v>
          </cell>
          <cell r="V838">
            <v>-7482.8999999999978</v>
          </cell>
        </row>
        <row r="839">
          <cell r="D839" t="str">
            <v>Piso De Elevador Em Granito</v>
          </cell>
          <cell r="E839">
            <v>6.82</v>
          </cell>
          <cell r="F839" t="str">
            <v>vb</v>
          </cell>
          <cell r="G839">
            <v>5249.97</v>
          </cell>
          <cell r="H839">
            <v>0</v>
          </cell>
          <cell r="I839" t="str">
            <v>01.016.005.001 - Piso De Elevador Em Granito</v>
          </cell>
          <cell r="J839" t="str">
            <v>3 - CUSTOS DIRETOS</v>
          </cell>
          <cell r="K839" t="str">
            <v>3 - CUSTOS DIRETOS1.016.005.001</v>
          </cell>
          <cell r="L839">
            <v>5249.97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T839">
            <v>5249.97</v>
          </cell>
          <cell r="U839">
            <v>5249.97</v>
          </cell>
          <cell r="V839">
            <v>0</v>
          </cell>
        </row>
        <row r="840">
          <cell r="D840" t="str">
            <v>Piso Emborrachado</v>
          </cell>
          <cell r="E840">
            <v>37.590000000000003</v>
          </cell>
          <cell r="F840" t="str">
            <v>vb</v>
          </cell>
          <cell r="G840">
            <v>10335.370000000001</v>
          </cell>
          <cell r="H840">
            <v>0</v>
          </cell>
          <cell r="I840" t="str">
            <v>01.016.005.002 - Piso Emborrachado</v>
          </cell>
          <cell r="J840" t="str">
            <v>3 - CUSTOS DIRETOS</v>
          </cell>
          <cell r="K840" t="str">
            <v>3 - CUSTOS DIRETOS1.016.005.002</v>
          </cell>
          <cell r="L840">
            <v>10335.370000000001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T840">
            <v>10335.370000000001</v>
          </cell>
          <cell r="U840">
            <v>10335.370000000001</v>
          </cell>
          <cell r="V840">
            <v>0</v>
          </cell>
        </row>
        <row r="841">
          <cell r="D841" t="str">
            <v>Revestimento De Piscina</v>
          </cell>
          <cell r="E841">
            <v>34.46</v>
          </cell>
          <cell r="F841" t="str">
            <v>vb</v>
          </cell>
          <cell r="G841">
            <v>5631.43</v>
          </cell>
          <cell r="H841">
            <v>0</v>
          </cell>
          <cell r="I841" t="str">
            <v>01.016.005.003 - Revestimento De Piscina</v>
          </cell>
          <cell r="J841" t="str">
            <v>3 - CUSTOS DIRETOS</v>
          </cell>
          <cell r="K841" t="str">
            <v>3 - CUSTOS DIRETOS1.016.005.003</v>
          </cell>
          <cell r="L841">
            <v>5631.43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T841">
            <v>5631.43</v>
          </cell>
          <cell r="U841">
            <v>5631.43</v>
          </cell>
          <cell r="V841">
            <v>0</v>
          </cell>
        </row>
        <row r="842">
          <cell r="D842" t="str">
            <v>Calçada com sinalização tátil</v>
          </cell>
          <cell r="E842">
            <v>0</v>
          </cell>
          <cell r="F842" t="str">
            <v>m2</v>
          </cell>
          <cell r="G842">
            <v>0</v>
          </cell>
          <cell r="H842">
            <v>0</v>
          </cell>
          <cell r="I842" t="str">
            <v>01.016.005.004 - Calçada com sinalização tátil</v>
          </cell>
          <cell r="J842" t="str">
            <v>3 - CUSTOS DIRETOS</v>
          </cell>
          <cell r="K842" t="str">
            <v>3 - CUSTOS DIRETOS1.016.005.004</v>
          </cell>
          <cell r="L842">
            <v>0</v>
          </cell>
          <cell r="N842">
            <v>7482.9</v>
          </cell>
          <cell r="O842">
            <v>0</v>
          </cell>
          <cell r="P842">
            <v>0</v>
          </cell>
          <cell r="Q842">
            <v>0</v>
          </cell>
          <cell r="R842">
            <v>7482.9</v>
          </cell>
          <cell r="T842">
            <v>0</v>
          </cell>
          <cell r="U842">
            <v>7482.9</v>
          </cell>
          <cell r="V842">
            <v>-7482.9</v>
          </cell>
        </row>
        <row r="843">
          <cell r="D843" t="str">
            <v>RODAPÉS</v>
          </cell>
          <cell r="I843" t="str">
            <v>01.016.006 - RODAPÉS</v>
          </cell>
          <cell r="J843" t="str">
            <v>3 - CUSTOS DIRETOS</v>
          </cell>
          <cell r="K843" t="str">
            <v>3 - CUSTOS DIRETOS1.016.006</v>
          </cell>
          <cell r="L843">
            <v>34158.160000000003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T843">
            <v>0</v>
          </cell>
          <cell r="U843">
            <v>0</v>
          </cell>
          <cell r="V843">
            <v>34158.160000000003</v>
          </cell>
        </row>
        <row r="844">
          <cell r="D844" t="str">
            <v>Rodapé Em Porcelanto (H=10 Cm)</v>
          </cell>
          <cell r="E844">
            <v>2209.54</v>
          </cell>
          <cell r="F844" t="str">
            <v>vb</v>
          </cell>
          <cell r="G844">
            <v>34158.160000000003</v>
          </cell>
          <cell r="H844">
            <v>0</v>
          </cell>
          <cell r="I844" t="str">
            <v>01.016.006.001 - Rodapé Em Porcelanto (H=10 Cm)</v>
          </cell>
          <cell r="J844" t="str">
            <v>3 - CUSTOS DIRETOS</v>
          </cell>
          <cell r="K844" t="str">
            <v>3 - CUSTOS DIRETOS1.016.006.001</v>
          </cell>
          <cell r="L844">
            <v>34158.160000000003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T844">
            <v>0</v>
          </cell>
          <cell r="U844">
            <v>0</v>
          </cell>
          <cell r="V844">
            <v>34158.160000000003</v>
          </cell>
        </row>
        <row r="845">
          <cell r="D845" t="str">
            <v>PINTURA</v>
          </cell>
          <cell r="I845" t="str">
            <v>01.017 - PINTURA</v>
          </cell>
          <cell r="J845" t="str">
            <v>3 - CUSTOS DIRETOS</v>
          </cell>
          <cell r="K845" t="str">
            <v>3 - CUSTOS DIRETOS1.017</v>
          </cell>
          <cell r="L845">
            <v>523651.85000000015</v>
          </cell>
          <cell r="N845">
            <v>78628.340000000011</v>
          </cell>
          <cell r="O845">
            <v>1751.4</v>
          </cell>
          <cell r="P845">
            <v>188651.64</v>
          </cell>
          <cell r="Q845">
            <v>175</v>
          </cell>
          <cell r="R845">
            <v>269206.38</v>
          </cell>
          <cell r="T845">
            <v>45311.909999999996</v>
          </cell>
          <cell r="U845">
            <v>314518.28999999998</v>
          </cell>
          <cell r="V845">
            <v>209133.56000000017</v>
          </cell>
        </row>
        <row r="846">
          <cell r="D846" t="str">
            <v>PINTURA INTERNA</v>
          </cell>
          <cell r="I846" t="str">
            <v>01.017.001 - PINTURA INTERNA</v>
          </cell>
          <cell r="J846" t="str">
            <v>3 - CUSTOS DIRETOS</v>
          </cell>
          <cell r="K846" t="str">
            <v>3 - CUSTOS DIRETOS1.017.001</v>
          </cell>
          <cell r="L846">
            <v>523651.85000000015</v>
          </cell>
          <cell r="N846">
            <v>78628.340000000011</v>
          </cell>
          <cell r="O846">
            <v>1751.4</v>
          </cell>
          <cell r="P846">
            <v>188651.64</v>
          </cell>
          <cell r="Q846">
            <v>175</v>
          </cell>
          <cell r="R846">
            <v>269206.38</v>
          </cell>
          <cell r="T846">
            <v>45311.909999999996</v>
          </cell>
          <cell r="U846">
            <v>314518.28999999998</v>
          </cell>
          <cell r="V846">
            <v>209133.56000000017</v>
          </cell>
        </row>
        <row r="847">
          <cell r="D847" t="str">
            <v>Pintura Interna (1º E 2º Demão) - Subsolo</v>
          </cell>
          <cell r="E847">
            <v>940.18</v>
          </cell>
          <cell r="F847" t="str">
            <v>vb</v>
          </cell>
          <cell r="G847">
            <v>19931.82</v>
          </cell>
          <cell r="H847">
            <v>0</v>
          </cell>
          <cell r="I847" t="str">
            <v>01.017.001.001 - Pintura Interna (1º E 2º Demão) - Subsolo</v>
          </cell>
          <cell r="J847" t="str">
            <v>3 - CUSTOS DIRETOS</v>
          </cell>
          <cell r="K847" t="str">
            <v>3 - CUSTOS DIRETOS1.017.001.001</v>
          </cell>
          <cell r="L847">
            <v>19931.82</v>
          </cell>
          <cell r="N847">
            <v>2982.27</v>
          </cell>
          <cell r="O847">
            <v>0</v>
          </cell>
          <cell r="P847">
            <v>11648.86</v>
          </cell>
          <cell r="Q847">
            <v>0</v>
          </cell>
          <cell r="R847">
            <v>14631.130000000001</v>
          </cell>
          <cell r="T847">
            <v>5300.6899999999987</v>
          </cell>
          <cell r="U847">
            <v>19931.82</v>
          </cell>
          <cell r="V847">
            <v>0</v>
          </cell>
        </row>
        <row r="848">
          <cell r="D848" t="str">
            <v>Pintura Interna (1º E 2º Demão) - Térreo</v>
          </cell>
          <cell r="E848">
            <v>1138.73</v>
          </cell>
          <cell r="F848" t="str">
            <v>vb</v>
          </cell>
          <cell r="G848">
            <v>24141.08</v>
          </cell>
          <cell r="H848">
            <v>0</v>
          </cell>
          <cell r="I848" t="str">
            <v>01.017.001.002 - Pintura Interna (1º E 2º Demão) - Térreo</v>
          </cell>
          <cell r="J848" t="str">
            <v>3 - CUSTOS DIRETOS</v>
          </cell>
          <cell r="K848" t="str">
            <v>3 - CUSTOS DIRETOS1.017.001.002</v>
          </cell>
          <cell r="L848">
            <v>24141.08</v>
          </cell>
          <cell r="N848">
            <v>3980.73</v>
          </cell>
          <cell r="O848">
            <v>0</v>
          </cell>
          <cell r="P848">
            <v>14330.01</v>
          </cell>
          <cell r="Q848">
            <v>175</v>
          </cell>
          <cell r="R848">
            <v>18485.740000000002</v>
          </cell>
          <cell r="T848">
            <v>5655.34</v>
          </cell>
          <cell r="U848">
            <v>24141.08</v>
          </cell>
          <cell r="V848">
            <v>0</v>
          </cell>
        </row>
        <row r="849">
          <cell r="D849" t="str">
            <v>Pintura Interna (1º E 2º Demão) - 1º Pav. Tipo</v>
          </cell>
          <cell r="E849">
            <v>1478.91</v>
          </cell>
          <cell r="F849" t="str">
            <v>vb</v>
          </cell>
          <cell r="G849">
            <v>31352.89</v>
          </cell>
          <cell r="H849">
            <v>0</v>
          </cell>
          <cell r="I849" t="str">
            <v>01.017.001.003 - Pintura Interna (1º E 2º Demão) - 1º Pav. Tipo</v>
          </cell>
          <cell r="J849" t="str">
            <v>3 - CUSTOS DIRETOS</v>
          </cell>
          <cell r="K849" t="str">
            <v>3 - CUSTOS DIRETOS1.017.001.003</v>
          </cell>
          <cell r="L849">
            <v>31352.89</v>
          </cell>
          <cell r="N849">
            <v>2967.58</v>
          </cell>
          <cell r="O849">
            <v>0</v>
          </cell>
          <cell r="P849">
            <v>11952.65</v>
          </cell>
          <cell r="Q849">
            <v>0</v>
          </cell>
          <cell r="R849">
            <v>14920.23</v>
          </cell>
          <cell r="T849">
            <v>1982.0000000000018</v>
          </cell>
          <cell r="U849">
            <v>16902.230000000003</v>
          </cell>
          <cell r="V849">
            <v>14450.659999999996</v>
          </cell>
        </row>
        <row r="850">
          <cell r="D850" t="str">
            <v>Pintura Interna (1º E 2º Demão) - 2º Pav. Tipo</v>
          </cell>
          <cell r="E850">
            <v>1478.91</v>
          </cell>
          <cell r="F850" t="str">
            <v>vb</v>
          </cell>
          <cell r="G850">
            <v>31352.89</v>
          </cell>
          <cell r="H850">
            <v>0</v>
          </cell>
          <cell r="I850" t="str">
            <v>01.017.001.004 - Pintura Interna (1º E 2º Demão) - 2º Pav. Tipo</v>
          </cell>
          <cell r="J850" t="str">
            <v>3 - CUSTOS DIRETOS</v>
          </cell>
          <cell r="K850" t="str">
            <v>3 - CUSTOS DIRETOS1.017.001.004</v>
          </cell>
          <cell r="L850">
            <v>31352.89</v>
          </cell>
          <cell r="N850">
            <v>4360.6100000000006</v>
          </cell>
          <cell r="O850">
            <v>0</v>
          </cell>
          <cell r="P850">
            <v>10046.75</v>
          </cell>
          <cell r="Q850">
            <v>0</v>
          </cell>
          <cell r="R850">
            <v>14407.36</v>
          </cell>
          <cell r="T850">
            <v>1981.9600000000009</v>
          </cell>
          <cell r="U850">
            <v>16389.32</v>
          </cell>
          <cell r="V850">
            <v>14963.57</v>
          </cell>
        </row>
        <row r="851">
          <cell r="D851" t="str">
            <v>Pintura Interna (1º E 2º Demão) - 3º Pav. Tipo</v>
          </cell>
          <cell r="E851">
            <v>1478.91</v>
          </cell>
          <cell r="F851" t="str">
            <v>vb</v>
          </cell>
          <cell r="G851">
            <v>31352.89</v>
          </cell>
          <cell r="H851">
            <v>0</v>
          </cell>
          <cell r="I851" t="str">
            <v>01.017.001.005 - Pintura Interna (1º E 2º Demão) - 3º Pav. Tipo</v>
          </cell>
          <cell r="J851" t="str">
            <v>3 - CUSTOS DIRETOS</v>
          </cell>
          <cell r="K851" t="str">
            <v>3 - CUSTOS DIRETOS1.017.001.005</v>
          </cell>
          <cell r="L851">
            <v>31352.89</v>
          </cell>
          <cell r="N851">
            <v>1955.33</v>
          </cell>
          <cell r="O851">
            <v>0</v>
          </cell>
          <cell r="P851">
            <v>12459.94</v>
          </cell>
          <cell r="Q851">
            <v>0</v>
          </cell>
          <cell r="R851">
            <v>14415.27</v>
          </cell>
          <cell r="T851">
            <v>1982</v>
          </cell>
          <cell r="U851">
            <v>16397.27</v>
          </cell>
          <cell r="V851">
            <v>14955.619999999999</v>
          </cell>
        </row>
        <row r="852">
          <cell r="D852" t="str">
            <v>Pintura Interna (1º E 2º Demão) - 4º Pav. Tipo</v>
          </cell>
          <cell r="E852">
            <v>1478.91</v>
          </cell>
          <cell r="F852" t="str">
            <v>vb</v>
          </cell>
          <cell r="G852">
            <v>31352.89</v>
          </cell>
          <cell r="H852">
            <v>0</v>
          </cell>
          <cell r="I852" t="str">
            <v>01.017.001.006 - Pintura Interna (1º E 2º Demão) - 4º Pav. Tipo</v>
          </cell>
          <cell r="J852" t="str">
            <v>3 - CUSTOS DIRETOS</v>
          </cell>
          <cell r="K852" t="str">
            <v>3 - CUSTOS DIRETOS1.017.001.006</v>
          </cell>
          <cell r="L852">
            <v>31352.89</v>
          </cell>
          <cell r="N852">
            <v>1955.33</v>
          </cell>
          <cell r="O852">
            <v>0</v>
          </cell>
          <cell r="P852">
            <v>12459.94</v>
          </cell>
          <cell r="Q852">
            <v>0</v>
          </cell>
          <cell r="R852">
            <v>14415.27</v>
          </cell>
          <cell r="T852">
            <v>1982</v>
          </cell>
          <cell r="U852">
            <v>16397.27</v>
          </cell>
          <cell r="V852">
            <v>14955.619999999999</v>
          </cell>
        </row>
        <row r="853">
          <cell r="D853" t="str">
            <v>Pintura Interna (1º E 2º Demão) - 5º Pav. Tipo</v>
          </cell>
          <cell r="E853">
            <v>1478.91</v>
          </cell>
          <cell r="F853" t="str">
            <v>vb</v>
          </cell>
          <cell r="G853">
            <v>31352.89</v>
          </cell>
          <cell r="H853">
            <v>0</v>
          </cell>
          <cell r="I853" t="str">
            <v>01.017.001.007 - Pintura Interna (1º E 2º Demão) - 5º Pav. Tipo</v>
          </cell>
          <cell r="J853" t="str">
            <v>3 - CUSTOS DIRETOS</v>
          </cell>
          <cell r="K853" t="str">
            <v>3 - CUSTOS DIRETOS1.017.001.007</v>
          </cell>
          <cell r="L853">
            <v>31352.89</v>
          </cell>
          <cell r="N853">
            <v>1196.1299999999999</v>
          </cell>
          <cell r="O853">
            <v>0</v>
          </cell>
          <cell r="P853">
            <v>13210.829999999998</v>
          </cell>
          <cell r="Q853">
            <v>0</v>
          </cell>
          <cell r="R853">
            <v>14406.959999999997</v>
          </cell>
          <cell r="T853">
            <v>1982.0000000000018</v>
          </cell>
          <cell r="U853">
            <v>16388.96</v>
          </cell>
          <cell r="V853">
            <v>14963.93</v>
          </cell>
        </row>
        <row r="854">
          <cell r="D854" t="str">
            <v>Pintura Interna (1º E 2º Demão) - 6º Pav. Tipo</v>
          </cell>
          <cell r="E854">
            <v>1478.91</v>
          </cell>
          <cell r="F854" t="str">
            <v>vb</v>
          </cell>
          <cell r="G854">
            <v>31352.89</v>
          </cell>
          <cell r="H854">
            <v>0</v>
          </cell>
          <cell r="I854" t="str">
            <v>01.017.001.008 - Pintura Interna (1º E 2º Demão) - 6º Pav. Tipo</v>
          </cell>
          <cell r="J854" t="str">
            <v>3 - CUSTOS DIRETOS</v>
          </cell>
          <cell r="K854" t="str">
            <v>3 - CUSTOS DIRETOS1.017.001.008</v>
          </cell>
          <cell r="L854">
            <v>31352.89</v>
          </cell>
          <cell r="N854">
            <v>1172.3799999999999</v>
          </cell>
          <cell r="O854">
            <v>0</v>
          </cell>
          <cell r="P854">
            <v>13210.829999999998</v>
          </cell>
          <cell r="Q854">
            <v>0</v>
          </cell>
          <cell r="R854">
            <v>14383.209999999997</v>
          </cell>
          <cell r="T854">
            <v>1982.0000000000018</v>
          </cell>
          <cell r="U854">
            <v>16365.21</v>
          </cell>
          <cell r="V854">
            <v>14987.68</v>
          </cell>
        </row>
        <row r="855">
          <cell r="D855" t="str">
            <v>Pintura Interna (1º E 2º Demão) - 7º Pav. Tipo</v>
          </cell>
          <cell r="E855">
            <v>1478.91</v>
          </cell>
          <cell r="F855" t="str">
            <v>vb</v>
          </cell>
          <cell r="G855">
            <v>31352.89</v>
          </cell>
          <cell r="H855">
            <v>0</v>
          </cell>
          <cell r="I855" t="str">
            <v>01.017.001.009 - Pintura Interna (1º E 2º Demão) - 7º Pav. Tipo</v>
          </cell>
          <cell r="J855" t="str">
            <v>3 - CUSTOS DIRETOS</v>
          </cell>
          <cell r="K855" t="str">
            <v>3 - CUSTOS DIRETOS1.017.001.009</v>
          </cell>
          <cell r="L855">
            <v>31352.89</v>
          </cell>
          <cell r="N855">
            <v>1232.1199999999999</v>
          </cell>
          <cell r="O855">
            <v>0</v>
          </cell>
          <cell r="P855">
            <v>13210.829999999998</v>
          </cell>
          <cell r="Q855">
            <v>0</v>
          </cell>
          <cell r="R855">
            <v>14442.949999999997</v>
          </cell>
          <cell r="T855">
            <v>1982</v>
          </cell>
          <cell r="U855">
            <v>16424.949999999997</v>
          </cell>
          <cell r="V855">
            <v>14927.940000000002</v>
          </cell>
        </row>
        <row r="856">
          <cell r="D856" t="str">
            <v>Pintura Interna (1º E 2º Demão) - 8º Pav. Tipo</v>
          </cell>
          <cell r="E856">
            <v>1478.91</v>
          </cell>
          <cell r="F856" t="str">
            <v>vb</v>
          </cell>
          <cell r="G856">
            <v>31352.89</v>
          </cell>
          <cell r="H856">
            <v>0</v>
          </cell>
          <cell r="I856" t="str">
            <v>01.017.001.010 - Pintura Interna (1º E 2º Demão) - 8º Pav. Tipo</v>
          </cell>
          <cell r="J856" t="str">
            <v>3 - CUSTOS DIRETOS</v>
          </cell>
          <cell r="K856" t="str">
            <v>3 - CUSTOS DIRETOS1.017.001.010</v>
          </cell>
          <cell r="L856">
            <v>31352.89</v>
          </cell>
          <cell r="N856">
            <v>6359.2800000000007</v>
          </cell>
          <cell r="O856">
            <v>0</v>
          </cell>
          <cell r="P856">
            <v>8023.37</v>
          </cell>
          <cell r="Q856">
            <v>0</v>
          </cell>
          <cell r="R856">
            <v>14382.650000000001</v>
          </cell>
          <cell r="T856">
            <v>1981.9600000000009</v>
          </cell>
          <cell r="U856">
            <v>16364.610000000002</v>
          </cell>
          <cell r="V856">
            <v>14988.279999999997</v>
          </cell>
        </row>
        <row r="857">
          <cell r="D857" t="str">
            <v>Pintura Interna (1º E 2º Demão) - 9º Pav. Tipo</v>
          </cell>
          <cell r="E857">
            <v>1478.91</v>
          </cell>
          <cell r="F857" t="str">
            <v>vb</v>
          </cell>
          <cell r="G857">
            <v>31352.89</v>
          </cell>
          <cell r="H857">
            <v>0</v>
          </cell>
          <cell r="I857" t="str">
            <v>01.017.001.011 - Pintura Interna (1º E 2º Demão) - 9º Pav. Tipo</v>
          </cell>
          <cell r="J857" t="str">
            <v>3 - CUSTOS DIRETOS</v>
          </cell>
          <cell r="K857" t="str">
            <v>3 - CUSTOS DIRETOS1.017.001.011</v>
          </cell>
          <cell r="L857">
            <v>31352.89</v>
          </cell>
          <cell r="N857">
            <v>80.490000000000009</v>
          </cell>
          <cell r="O857">
            <v>250.2</v>
          </cell>
          <cell r="P857">
            <v>14330.01</v>
          </cell>
          <cell r="Q857">
            <v>0</v>
          </cell>
          <cell r="R857">
            <v>14660.7</v>
          </cell>
          <cell r="T857">
            <v>2357.2999999999993</v>
          </cell>
          <cell r="U857">
            <v>17018</v>
          </cell>
          <cell r="V857">
            <v>14334.89</v>
          </cell>
        </row>
        <row r="858">
          <cell r="D858" t="str">
            <v>Pintura Interna (1º E 2º Demão) - 10º Pav. Tipo</v>
          </cell>
          <cell r="E858">
            <v>1478.91</v>
          </cell>
          <cell r="F858" t="str">
            <v>vb</v>
          </cell>
          <cell r="G858">
            <v>31352.89</v>
          </cell>
          <cell r="H858">
            <v>0</v>
          </cell>
          <cell r="I858" t="str">
            <v>01.017.001.012 - Pintura Interna (1º E 2º Demão) - 10º Pav. Tipo</v>
          </cell>
          <cell r="J858" t="str">
            <v>3 - CUSTOS DIRETOS</v>
          </cell>
          <cell r="K858" t="str">
            <v>3 - CUSTOS DIRETOS1.017.001.012</v>
          </cell>
          <cell r="L858">
            <v>31352.89</v>
          </cell>
          <cell r="N858">
            <v>7146.5500000000011</v>
          </cell>
          <cell r="O858">
            <v>250.2</v>
          </cell>
          <cell r="P858">
            <v>7263.8799999999992</v>
          </cell>
          <cell r="Q858">
            <v>0</v>
          </cell>
          <cell r="R858">
            <v>14660.630000000001</v>
          </cell>
          <cell r="T858">
            <v>2357.3100000000013</v>
          </cell>
          <cell r="U858">
            <v>17017.940000000002</v>
          </cell>
          <cell r="V858">
            <v>14334.949999999997</v>
          </cell>
        </row>
        <row r="859">
          <cell r="D859" t="str">
            <v>Pintura Interna (1º E 2º Demão) - 11º Pav. Tipo</v>
          </cell>
          <cell r="E859">
            <v>1478.91</v>
          </cell>
          <cell r="F859" t="str">
            <v>vb</v>
          </cell>
          <cell r="G859">
            <v>31352.89</v>
          </cell>
          <cell r="H859">
            <v>0</v>
          </cell>
          <cell r="I859" t="str">
            <v>01.017.001.013 - Pintura Interna (1º E 2º Demão) - 11º Pav. Tipo</v>
          </cell>
          <cell r="J859" t="str">
            <v>3 - CUSTOS DIRETOS</v>
          </cell>
          <cell r="K859" t="str">
            <v>3 - CUSTOS DIRETOS1.017.001.013</v>
          </cell>
          <cell r="L859">
            <v>31352.89</v>
          </cell>
          <cell r="N859">
            <v>10553.840000000002</v>
          </cell>
          <cell r="O859">
            <v>250.2</v>
          </cell>
          <cell r="P859">
            <v>3856.19</v>
          </cell>
          <cell r="Q859">
            <v>0</v>
          </cell>
          <cell r="R859">
            <v>14660.230000000003</v>
          </cell>
          <cell r="T859">
            <v>2357.2999999999993</v>
          </cell>
          <cell r="U859">
            <v>17017.530000000002</v>
          </cell>
          <cell r="V859">
            <v>14335.359999999997</v>
          </cell>
        </row>
        <row r="860">
          <cell r="D860" t="str">
            <v>Pintura Interna (1º E 2º Demão) - 12º Pav. Tipo</v>
          </cell>
          <cell r="E860">
            <v>1478.91</v>
          </cell>
          <cell r="F860" t="str">
            <v>vb</v>
          </cell>
          <cell r="G860">
            <v>31352.89</v>
          </cell>
          <cell r="H860">
            <v>0</v>
          </cell>
          <cell r="I860" t="str">
            <v>01.017.001.014 - Pintura Interna (1º E 2º Demão) - 12º Pav. Tipo</v>
          </cell>
          <cell r="J860" t="str">
            <v>3 - CUSTOS DIRETOS</v>
          </cell>
          <cell r="K860" t="str">
            <v>3 - CUSTOS DIRETOS1.017.001.014</v>
          </cell>
          <cell r="L860">
            <v>31352.89</v>
          </cell>
          <cell r="N860">
            <v>7010.8400000000011</v>
          </cell>
          <cell r="O860">
            <v>250.2</v>
          </cell>
          <cell r="P860">
            <v>7400.02</v>
          </cell>
          <cell r="Q860">
            <v>0</v>
          </cell>
          <cell r="R860">
            <v>14661.060000000001</v>
          </cell>
          <cell r="T860">
            <v>2356.9599999999973</v>
          </cell>
          <cell r="U860">
            <v>17018.019999999997</v>
          </cell>
          <cell r="V860">
            <v>14334.870000000003</v>
          </cell>
        </row>
        <row r="861">
          <cell r="D861" t="str">
            <v>Pintura Interna (1º E 2º Demão) - 13º Pav. Tipo</v>
          </cell>
          <cell r="E861">
            <v>1478.91</v>
          </cell>
          <cell r="F861" t="str">
            <v>vb</v>
          </cell>
          <cell r="G861">
            <v>31352.89</v>
          </cell>
          <cell r="H861">
            <v>0</v>
          </cell>
          <cell r="I861" t="str">
            <v>01.017.001.015 - Pintura Interna (1º E 2º Demão) - 13º Pav. Tipo</v>
          </cell>
          <cell r="J861" t="str">
            <v>3 - CUSTOS DIRETOS</v>
          </cell>
          <cell r="K861" t="str">
            <v>3 - CUSTOS DIRETOS1.017.001.015</v>
          </cell>
          <cell r="L861">
            <v>31352.89</v>
          </cell>
          <cell r="N861">
            <v>7010.9100000000008</v>
          </cell>
          <cell r="O861">
            <v>250.2</v>
          </cell>
          <cell r="P861">
            <v>7400.02</v>
          </cell>
          <cell r="Q861">
            <v>0</v>
          </cell>
          <cell r="R861">
            <v>14661.130000000001</v>
          </cell>
          <cell r="T861">
            <v>2356.8899999999976</v>
          </cell>
          <cell r="U861">
            <v>17018.019999999997</v>
          </cell>
          <cell r="V861">
            <v>14334.870000000003</v>
          </cell>
        </row>
        <row r="862">
          <cell r="D862" t="str">
            <v>Pintura Interna (1º E 2º Demão) - 14º Pav. Tipo</v>
          </cell>
          <cell r="E862">
            <v>1478.91</v>
          </cell>
          <cell r="F862" t="str">
            <v>vb</v>
          </cell>
          <cell r="G862">
            <v>31352.89</v>
          </cell>
          <cell r="H862">
            <v>0</v>
          </cell>
          <cell r="I862" t="str">
            <v>01.017.001.016 - Pintura Interna (1º E 2º Demão) - 14º Pav. Tipo</v>
          </cell>
          <cell r="J862" t="str">
            <v>3 - CUSTOS DIRETOS</v>
          </cell>
          <cell r="K862" t="str">
            <v>3 - CUSTOS DIRETOS1.017.001.016</v>
          </cell>
          <cell r="L862">
            <v>31352.89</v>
          </cell>
          <cell r="N862">
            <v>7790.8400000000011</v>
          </cell>
          <cell r="O862">
            <v>250.2</v>
          </cell>
          <cell r="P862">
            <v>7400.02</v>
          </cell>
          <cell r="Q862">
            <v>0</v>
          </cell>
          <cell r="R862">
            <v>15441.060000000001</v>
          </cell>
          <cell r="T862">
            <v>2356.9599999999973</v>
          </cell>
          <cell r="U862">
            <v>17798.019999999997</v>
          </cell>
          <cell r="V862">
            <v>13554.870000000003</v>
          </cell>
        </row>
        <row r="863">
          <cell r="D863" t="str">
            <v>Pintura Interna (1º E 2º Demão) - 15º Pav. Tipo</v>
          </cell>
          <cell r="E863">
            <v>1478.91</v>
          </cell>
          <cell r="F863" t="str">
            <v>vb</v>
          </cell>
          <cell r="G863">
            <v>31352.89</v>
          </cell>
          <cell r="H863">
            <v>0</v>
          </cell>
          <cell r="I863" t="str">
            <v>01.017.001.017 - Pintura Interna (1º E 2º Demão) - 15º Pav. Tipo</v>
          </cell>
          <cell r="J863" t="str">
            <v>3 - CUSTOS DIRETOS</v>
          </cell>
          <cell r="K863" t="str">
            <v>3 - CUSTOS DIRETOS1.017.001.017</v>
          </cell>
          <cell r="L863">
            <v>31352.89</v>
          </cell>
          <cell r="N863">
            <v>10873.11</v>
          </cell>
          <cell r="O863">
            <v>250.2</v>
          </cell>
          <cell r="P863">
            <v>6117.48</v>
          </cell>
          <cell r="Q863">
            <v>0</v>
          </cell>
          <cell r="R863">
            <v>17240.79</v>
          </cell>
          <cell r="T863">
            <v>2357.2299999999959</v>
          </cell>
          <cell r="U863">
            <v>19598.019999999997</v>
          </cell>
          <cell r="V863">
            <v>11754.870000000003</v>
          </cell>
        </row>
        <row r="864">
          <cell r="D864" t="str">
            <v>Pintura Interna (1º E 2º Demão) - Cobertura</v>
          </cell>
          <cell r="E864">
            <v>438</v>
          </cell>
          <cell r="F864" t="str">
            <v>vb</v>
          </cell>
          <cell r="G864">
            <v>9285.6</v>
          </cell>
          <cell r="H864">
            <v>0</v>
          </cell>
          <cell r="I864" t="str">
            <v>01.017.001.018 - Pintura Interna (1º E 2º Demão) - Cobertura</v>
          </cell>
          <cell r="J864" t="str">
            <v>3 - CUSTOS DIRETOS</v>
          </cell>
          <cell r="K864" t="str">
            <v>3 - CUSTOS DIRETOS1.017.001.018</v>
          </cell>
          <cell r="L864">
            <v>9285.6</v>
          </cell>
          <cell r="N864">
            <v>0</v>
          </cell>
          <cell r="O864">
            <v>0</v>
          </cell>
          <cell r="P864">
            <v>14330.01</v>
          </cell>
          <cell r="Q864">
            <v>0</v>
          </cell>
          <cell r="R864">
            <v>14330.01</v>
          </cell>
          <cell r="T864">
            <v>2000.0100000000002</v>
          </cell>
          <cell r="U864">
            <v>16330.02</v>
          </cell>
          <cell r="V864">
            <v>-7044.42</v>
          </cell>
        </row>
        <row r="865">
          <cell r="D865" t="str">
            <v>REVESTIMENTOS EXTERNOS</v>
          </cell>
          <cell r="I865" t="str">
            <v>01.018 - REVESTIMENTOS EXTERNOS</v>
          </cell>
          <cell r="J865" t="str">
            <v>3 - CUSTOS DIRETOS</v>
          </cell>
          <cell r="K865" t="str">
            <v>3 - CUSTOS DIRETOS1.018</v>
          </cell>
          <cell r="L865">
            <v>332545.65000000002</v>
          </cell>
          <cell r="N865">
            <v>573863.14999999991</v>
          </cell>
          <cell r="O865">
            <v>109025.22</v>
          </cell>
          <cell r="P865">
            <v>159953.03</v>
          </cell>
          <cell r="Q865">
            <v>6323.1100000000006</v>
          </cell>
          <cell r="R865">
            <v>849164.50999999989</v>
          </cell>
          <cell r="T865">
            <v>-40000</v>
          </cell>
          <cell r="U865">
            <v>809164.50999999989</v>
          </cell>
          <cell r="V865">
            <v>-476618.85999999987</v>
          </cell>
        </row>
        <row r="866">
          <cell r="D866" t="str">
            <v>CHAPISCO E REBOCO EXTERNO</v>
          </cell>
          <cell r="I866" t="str">
            <v>01.018.001 - CHAPISCO E REBOCO EXTERNO</v>
          </cell>
          <cell r="J866" t="str">
            <v>3 - CUSTOS DIRETOS</v>
          </cell>
          <cell r="K866" t="str">
            <v>3 - CUSTOS DIRETOS1.018.001</v>
          </cell>
          <cell r="L866">
            <v>186326.13</v>
          </cell>
          <cell r="N866">
            <v>496309.65999999986</v>
          </cell>
          <cell r="O866">
            <v>40194.200000000004</v>
          </cell>
          <cell r="P866">
            <v>0</v>
          </cell>
          <cell r="Q866">
            <v>0</v>
          </cell>
          <cell r="R866">
            <v>536503.85999999987</v>
          </cell>
          <cell r="T866">
            <v>40000</v>
          </cell>
          <cell r="U866">
            <v>576503.85999999987</v>
          </cell>
          <cell r="V866">
            <v>-390177.72999999986</v>
          </cell>
        </row>
        <row r="867">
          <cell r="D867" t="str">
            <v>Taliscamento De Parede Externa</v>
          </cell>
          <cell r="E867">
            <v>3951.69</v>
          </cell>
          <cell r="F867" t="str">
            <v>vb</v>
          </cell>
          <cell r="G867">
            <v>10365.280000000001</v>
          </cell>
          <cell r="H867">
            <v>0</v>
          </cell>
          <cell r="I867" t="str">
            <v>01.018.001.001 - Taliscamento De Parede Externa</v>
          </cell>
          <cell r="J867" t="str">
            <v>3 - CUSTOS DIRETOS</v>
          </cell>
          <cell r="K867" t="str">
            <v>3 - CUSTOS DIRETOS1.018.001.001</v>
          </cell>
          <cell r="L867">
            <v>10365.280000000001</v>
          </cell>
          <cell r="N867">
            <v>3785.18</v>
          </cell>
          <cell r="O867">
            <v>0</v>
          </cell>
          <cell r="P867">
            <v>0</v>
          </cell>
          <cell r="Q867">
            <v>0</v>
          </cell>
          <cell r="R867">
            <v>3785.18</v>
          </cell>
          <cell r="T867">
            <v>0</v>
          </cell>
          <cell r="U867">
            <v>3785.18</v>
          </cell>
          <cell r="V867">
            <v>6580.1</v>
          </cell>
        </row>
        <row r="868">
          <cell r="D868" t="str">
            <v>Chapisco Externo</v>
          </cell>
          <cell r="E868">
            <v>3951.69</v>
          </cell>
          <cell r="F868" t="str">
            <v>vb</v>
          </cell>
          <cell r="G868">
            <v>29748.32</v>
          </cell>
          <cell r="H868">
            <v>0</v>
          </cell>
          <cell r="I868" t="str">
            <v>01.018.001.002 - Chapisco Externo</v>
          </cell>
          <cell r="J868" t="str">
            <v>3 - CUSTOS DIRETOS</v>
          </cell>
          <cell r="K868" t="str">
            <v>3 - CUSTOS DIRETOS1.018.001.002</v>
          </cell>
          <cell r="L868">
            <v>29748.32</v>
          </cell>
          <cell r="N868">
            <v>13364.64</v>
          </cell>
          <cell r="O868">
            <v>0</v>
          </cell>
          <cell r="P868">
            <v>0</v>
          </cell>
          <cell r="Q868">
            <v>0</v>
          </cell>
          <cell r="R868">
            <v>13364.64</v>
          </cell>
          <cell r="T868">
            <v>0</v>
          </cell>
          <cell r="U868">
            <v>13364.64</v>
          </cell>
          <cell r="V868">
            <v>16383.68</v>
          </cell>
        </row>
        <row r="869">
          <cell r="D869" t="str">
            <v>Reboco Externo (E=5Cm)</v>
          </cell>
          <cell r="E869">
            <v>3951.69</v>
          </cell>
          <cell r="F869" t="str">
            <v>vb</v>
          </cell>
          <cell r="G869">
            <v>146212.53</v>
          </cell>
          <cell r="H869">
            <v>0</v>
          </cell>
          <cell r="I869" t="str">
            <v>01.018.001.003 - Reboco Externo (E=5Cm)</v>
          </cell>
          <cell r="J869" t="str">
            <v>3 - CUSTOS DIRETOS</v>
          </cell>
          <cell r="K869" t="str">
            <v>3 - CUSTOS DIRETOS1.018.001.003</v>
          </cell>
          <cell r="L869">
            <v>146212.53</v>
          </cell>
          <cell r="N869">
            <v>479159.83999999985</v>
          </cell>
          <cell r="O869">
            <v>40194.200000000004</v>
          </cell>
          <cell r="P869">
            <v>0</v>
          </cell>
          <cell r="Q869">
            <v>0</v>
          </cell>
          <cell r="R869">
            <v>519354.03999999986</v>
          </cell>
          <cell r="T869">
            <v>40000</v>
          </cell>
          <cell r="U869">
            <v>559354.0399999998</v>
          </cell>
          <cell r="V869">
            <v>-413141.50999999978</v>
          </cell>
        </row>
        <row r="870">
          <cell r="D870" t="str">
            <v>REVESTIMENTOS DA FACHADA</v>
          </cell>
          <cell r="I870" t="str">
            <v>01.018.002 - REVESTIMENTOS DA FACHADA</v>
          </cell>
          <cell r="J870" t="str">
            <v>3 - CUSTOS DIRETOS</v>
          </cell>
          <cell r="K870" t="str">
            <v>3 - CUSTOS DIRETOS1.018.002</v>
          </cell>
          <cell r="L870">
            <v>146219.52000000002</v>
          </cell>
          <cell r="N870">
            <v>77553.490000000005</v>
          </cell>
          <cell r="O870">
            <v>68831.01999999999</v>
          </cell>
          <cell r="P870">
            <v>159953.03</v>
          </cell>
          <cell r="Q870">
            <v>6323.1100000000006</v>
          </cell>
          <cell r="R870">
            <v>312660.65000000002</v>
          </cell>
          <cell r="T870">
            <v>-80000</v>
          </cell>
          <cell r="U870">
            <v>232660.65000000002</v>
          </cell>
          <cell r="V870">
            <v>-86441.13</v>
          </cell>
        </row>
        <row r="871">
          <cell r="D871" t="str">
            <v>Textura Externa</v>
          </cell>
          <cell r="E871">
            <v>4541.12</v>
          </cell>
          <cell r="F871" t="str">
            <v>vb</v>
          </cell>
          <cell r="G871">
            <v>106219.52</v>
          </cell>
          <cell r="H871">
            <v>0</v>
          </cell>
          <cell r="I871" t="str">
            <v>01.018.002.001 - Textura Externa</v>
          </cell>
          <cell r="J871" t="str">
            <v>3 - CUSTOS DIRETOS</v>
          </cell>
          <cell r="K871" t="str">
            <v>3 - CUSTOS DIRETOS1.018.002.001</v>
          </cell>
          <cell r="L871">
            <v>106219.52</v>
          </cell>
          <cell r="N871">
            <v>36325.4</v>
          </cell>
          <cell r="O871">
            <v>68831.01999999999</v>
          </cell>
          <cell r="P871">
            <v>159953.03</v>
          </cell>
          <cell r="Q871">
            <v>6323.1100000000006</v>
          </cell>
          <cell r="R871">
            <v>271432.55999999994</v>
          </cell>
          <cell r="T871">
            <v>-80000</v>
          </cell>
          <cell r="U871">
            <v>191432.55999999994</v>
          </cell>
          <cell r="V871">
            <v>-85213.039999999935</v>
          </cell>
        </row>
        <row r="872">
          <cell r="D872" t="str">
            <v>Elemento De Fachada</v>
          </cell>
          <cell r="E872">
            <v>1</v>
          </cell>
          <cell r="F872" t="str">
            <v>vb</v>
          </cell>
          <cell r="G872">
            <v>40000</v>
          </cell>
          <cell r="H872">
            <v>0</v>
          </cell>
          <cell r="I872" t="str">
            <v>01.018.002.002 - Elemento De Fachada</v>
          </cell>
          <cell r="J872" t="str">
            <v>3 - CUSTOS DIRETOS</v>
          </cell>
          <cell r="K872" t="str">
            <v>3 - CUSTOS DIRETOS1.018.002.002</v>
          </cell>
          <cell r="L872">
            <v>40000</v>
          </cell>
          <cell r="N872">
            <v>41228.090000000004</v>
          </cell>
          <cell r="O872">
            <v>0</v>
          </cell>
          <cell r="P872">
            <v>0</v>
          </cell>
          <cell r="Q872">
            <v>0</v>
          </cell>
          <cell r="R872">
            <v>41228.090000000004</v>
          </cell>
          <cell r="T872">
            <v>0</v>
          </cell>
          <cell r="U872">
            <v>41228.090000000004</v>
          </cell>
          <cell r="V872">
            <v>-1228.0900000000038</v>
          </cell>
        </row>
        <row r="873">
          <cell r="D873" t="str">
            <v>IMPERMEABILIZAÇÃO</v>
          </cell>
          <cell r="I873" t="str">
            <v>01.019 - IMPERMEABILIZAÇÃO</v>
          </cell>
          <cell r="J873" t="str">
            <v>3 - CUSTOS DIRETOS</v>
          </cell>
          <cell r="K873" t="str">
            <v>3 - CUSTOS DIRETOS1.019</v>
          </cell>
          <cell r="L873">
            <v>355821.09</v>
          </cell>
          <cell r="N873">
            <v>81509.98</v>
          </cell>
          <cell r="O873">
            <v>5926.41</v>
          </cell>
          <cell r="P873">
            <v>0</v>
          </cell>
          <cell r="Q873">
            <v>0</v>
          </cell>
          <cell r="R873">
            <v>87436.39</v>
          </cell>
          <cell r="T873">
            <v>224525.48</v>
          </cell>
          <cell r="U873">
            <v>311961.87</v>
          </cell>
          <cell r="V873">
            <v>43859.22000000003</v>
          </cell>
        </row>
        <row r="874">
          <cell r="D874" t="str">
            <v>PREPAROS E PROTEÇÕES</v>
          </cell>
          <cell r="I874" t="str">
            <v>01.019.001 - PREPAROS E PROTEÇÕES</v>
          </cell>
          <cell r="J874" t="str">
            <v>3 - CUSTOS DIRETOS</v>
          </cell>
          <cell r="K874" t="str">
            <v>3 - CUSTOS DIRETOS1.019.001</v>
          </cell>
          <cell r="L874">
            <v>164008.02000000002</v>
          </cell>
          <cell r="N874">
            <v>624.5</v>
          </cell>
          <cell r="O874">
            <v>0</v>
          </cell>
          <cell r="P874">
            <v>0</v>
          </cell>
          <cell r="Q874">
            <v>0</v>
          </cell>
          <cell r="R874">
            <v>624.5</v>
          </cell>
          <cell r="T874">
            <v>163383.52000000002</v>
          </cell>
          <cell r="U874">
            <v>164008.02000000002</v>
          </cell>
          <cell r="V874">
            <v>0</v>
          </cell>
        </row>
        <row r="875">
          <cell r="D875" t="str">
            <v>Preparo De Superfície</v>
          </cell>
          <cell r="E875">
            <v>3953.42</v>
          </cell>
          <cell r="F875" t="str">
            <v>vb</v>
          </cell>
          <cell r="G875">
            <v>79362.53</v>
          </cell>
          <cell r="H875">
            <v>0</v>
          </cell>
          <cell r="I875" t="str">
            <v>01.019.001.001 - Preparo De Superfície</v>
          </cell>
          <cell r="J875" t="str">
            <v>3 - CUSTOS DIRETOS</v>
          </cell>
          <cell r="K875" t="str">
            <v>3 - CUSTOS DIRETOS1.019.001.001</v>
          </cell>
          <cell r="L875">
            <v>79362.53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T875">
            <v>79362.53</v>
          </cell>
          <cell r="U875">
            <v>79362.53</v>
          </cell>
          <cell r="V875">
            <v>0</v>
          </cell>
        </row>
        <row r="876">
          <cell r="D876" t="str">
            <v>Proteção Mecânica De Impermeabilização</v>
          </cell>
          <cell r="E876">
            <v>3953.42</v>
          </cell>
          <cell r="F876" t="str">
            <v>vb</v>
          </cell>
          <cell r="G876">
            <v>84645.49</v>
          </cell>
          <cell r="H876">
            <v>0</v>
          </cell>
          <cell r="I876" t="str">
            <v>01.019.001.002 - Proteção Mecânica De Impermeabilização</v>
          </cell>
          <cell r="J876" t="str">
            <v>3 - CUSTOS DIRETOS</v>
          </cell>
          <cell r="K876" t="str">
            <v>3 - CUSTOS DIRETOS1.019.001.002</v>
          </cell>
          <cell r="L876">
            <v>84645.49</v>
          </cell>
          <cell r="N876">
            <v>624.5</v>
          </cell>
          <cell r="O876">
            <v>0</v>
          </cell>
          <cell r="P876">
            <v>0</v>
          </cell>
          <cell r="Q876">
            <v>0</v>
          </cell>
          <cell r="R876">
            <v>624.5</v>
          </cell>
          <cell r="T876">
            <v>84020.99</v>
          </cell>
          <cell r="U876">
            <v>84645.49</v>
          </cell>
          <cell r="V876">
            <v>0</v>
          </cell>
        </row>
        <row r="877">
          <cell r="D877" t="str">
            <v>IMPERMEABILIZAÇÕES</v>
          </cell>
          <cell r="I877" t="str">
            <v>01.019.002 - IMPERMEABILIZAÇÕES</v>
          </cell>
          <cell r="J877" t="str">
            <v>3 - CUSTOS DIRETOS</v>
          </cell>
          <cell r="K877" t="str">
            <v>3 - CUSTOS DIRETOS1.019.002</v>
          </cell>
          <cell r="L877">
            <v>191813.07</v>
          </cell>
          <cell r="N877">
            <v>80885.48</v>
          </cell>
          <cell r="O877">
            <v>5926.41</v>
          </cell>
          <cell r="P877">
            <v>0</v>
          </cell>
          <cell r="Q877">
            <v>0</v>
          </cell>
          <cell r="R877">
            <v>86811.89</v>
          </cell>
          <cell r="T877">
            <v>61141.96</v>
          </cell>
          <cell r="U877">
            <v>147953.85</v>
          </cell>
          <cell r="V877">
            <v>43859.22</v>
          </cell>
        </row>
        <row r="878">
          <cell r="D878" t="str">
            <v>Argamassa Polimérica Rígida (3,0 Kg/M²)</v>
          </cell>
          <cell r="E878">
            <v>3333.87</v>
          </cell>
          <cell r="F878" t="str">
            <v>vb</v>
          </cell>
          <cell r="G878">
            <v>126999.44</v>
          </cell>
          <cell r="H878">
            <v>0</v>
          </cell>
          <cell r="I878" t="str">
            <v>01.019.002.001 - Argamassa Polimérica Rígida (3,0 Kg/M²)</v>
          </cell>
          <cell r="J878" t="str">
            <v>3 - CUSTOS DIRETOS</v>
          </cell>
          <cell r="K878" t="str">
            <v>3 - CUSTOS DIRETOS1.019.002.001</v>
          </cell>
          <cell r="L878">
            <v>126999.44</v>
          </cell>
          <cell r="N878">
            <v>41039.479999999996</v>
          </cell>
          <cell r="O878">
            <v>5926.41</v>
          </cell>
          <cell r="P878">
            <v>0</v>
          </cell>
          <cell r="Q878">
            <v>0</v>
          </cell>
          <cell r="R878">
            <v>46965.89</v>
          </cell>
          <cell r="T878">
            <v>5574.4199999999983</v>
          </cell>
          <cell r="U878">
            <v>52540.31</v>
          </cell>
          <cell r="V878">
            <v>74459.13</v>
          </cell>
        </row>
        <row r="879">
          <cell r="D879" t="str">
            <v>Manta Asfáltica 4Mm Tipo Iii B Aa Aderida Com Asfalto Oxidado (3Kg/M²)</v>
          </cell>
          <cell r="E879">
            <v>164.65</v>
          </cell>
          <cell r="F879" t="str">
            <v>vb</v>
          </cell>
          <cell r="G879">
            <v>9246.09</v>
          </cell>
          <cell r="H879">
            <v>0</v>
          </cell>
          <cell r="I879" t="str">
            <v>01.019.002.002 - Manta Asfáltica 4Mm Tipo Iii B Aa Aderida Com Asfalto Oxidado (3Kg/M²)</v>
          </cell>
          <cell r="J879" t="str">
            <v>3 - CUSTOS DIRETOS</v>
          </cell>
          <cell r="K879" t="str">
            <v>3 - CUSTOS DIRETOS1.019.002.002</v>
          </cell>
          <cell r="L879">
            <v>9246.09</v>
          </cell>
          <cell r="N879">
            <v>39846</v>
          </cell>
          <cell r="O879">
            <v>0</v>
          </cell>
          <cell r="P879">
            <v>0</v>
          </cell>
          <cell r="Q879">
            <v>0</v>
          </cell>
          <cell r="R879">
            <v>39846</v>
          </cell>
          <cell r="T879">
            <v>0</v>
          </cell>
          <cell r="U879">
            <v>39846</v>
          </cell>
          <cell r="V879">
            <v>-30599.91</v>
          </cell>
        </row>
        <row r="880">
          <cell r="D880" t="str">
            <v>Camada Separadora Com Filme De Polietileno 24 Micras + Proteção Mecânica Primária (H=2Cm)</v>
          </cell>
          <cell r="E880">
            <v>24.26</v>
          </cell>
          <cell r="F880" t="str">
            <v>vb</v>
          </cell>
          <cell r="G880">
            <v>3245.99</v>
          </cell>
          <cell r="H880">
            <v>0</v>
          </cell>
          <cell r="I880" t="str">
            <v>01.019.002.003 - Camada Separadora Com Filme De Polietileno 24 Micras + Proteção Mecânica Primária (H=2Cm)</v>
          </cell>
          <cell r="J880" t="str">
            <v>3 - CUSTOS DIRETOS</v>
          </cell>
          <cell r="K880" t="str">
            <v>3 - CUSTOS DIRETOS1.019.002.003</v>
          </cell>
          <cell r="L880">
            <v>3245.99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T880">
            <v>3245.99</v>
          </cell>
          <cell r="U880">
            <v>3245.99</v>
          </cell>
          <cell r="V880">
            <v>0</v>
          </cell>
        </row>
        <row r="881">
          <cell r="D881" t="str">
            <v>Manta Asfáltica 4Mm Tipo Iii B Aa Aderida Com Asfalto Oxidado (3Kg/M²) Com Pintura Anti-Raiz</v>
          </cell>
          <cell r="E881">
            <v>430.63</v>
          </cell>
          <cell r="F881" t="str">
            <v>vb</v>
          </cell>
          <cell r="G881">
            <v>52321.55</v>
          </cell>
          <cell r="H881">
            <v>0</v>
          </cell>
          <cell r="I881" t="str">
            <v>01.019.002.004 - Manta Asfáltica 4Mm Tipo Iii B Aa Aderida Com Asfalto Oxidado (3Kg/M²) Com Pintura Anti-Raiz</v>
          </cell>
          <cell r="J881" t="str">
            <v>3 - CUSTOS DIRETOS</v>
          </cell>
          <cell r="K881" t="str">
            <v>3 - CUSTOS DIRETOS1.019.002.004</v>
          </cell>
          <cell r="L881">
            <v>52321.55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T881">
            <v>52321.55</v>
          </cell>
          <cell r="U881">
            <v>52321.55</v>
          </cell>
          <cell r="V881">
            <v>0</v>
          </cell>
        </row>
        <row r="882">
          <cell r="D882" t="str">
            <v>INSTALAÇÕES ESPECIAIS</v>
          </cell>
          <cell r="I882" t="str">
            <v>01.020 - INSTALAÇÕES ESPECIAIS</v>
          </cell>
          <cell r="J882" t="str">
            <v>3 - CUSTOS DIRETOS</v>
          </cell>
          <cell r="K882" t="str">
            <v>3 - CUSTOS DIRETOS1.020</v>
          </cell>
          <cell r="L882">
            <v>544000</v>
          </cell>
          <cell r="N882">
            <v>568752.20000000007</v>
          </cell>
          <cell r="O882">
            <v>0</v>
          </cell>
          <cell r="P882">
            <v>0</v>
          </cell>
          <cell r="Q882">
            <v>0</v>
          </cell>
          <cell r="R882">
            <v>568752.20000000007</v>
          </cell>
          <cell r="T882">
            <v>0</v>
          </cell>
          <cell r="U882">
            <v>568752.20000000007</v>
          </cell>
          <cell r="V882">
            <v>-24752.20000000007</v>
          </cell>
        </row>
        <row r="883">
          <cell r="D883" t="str">
            <v>INSTALAÇÕES ESPECIAIS</v>
          </cell>
          <cell r="I883" t="str">
            <v>01.020.001 - INSTALAÇÕES ESPECIAIS</v>
          </cell>
          <cell r="J883" t="str">
            <v>3 - CUSTOS DIRETOS</v>
          </cell>
          <cell r="K883" t="str">
            <v>3 - CUSTOS DIRETOS1.020.001</v>
          </cell>
          <cell r="L883">
            <v>544000</v>
          </cell>
          <cell r="N883">
            <v>568752.20000000007</v>
          </cell>
          <cell r="O883">
            <v>0</v>
          </cell>
          <cell r="P883">
            <v>0</v>
          </cell>
          <cell r="Q883">
            <v>0</v>
          </cell>
          <cell r="R883">
            <v>568752.20000000007</v>
          </cell>
          <cell r="T883">
            <v>0</v>
          </cell>
          <cell r="U883">
            <v>568752.20000000007</v>
          </cell>
          <cell r="V883">
            <v>-24752.20000000007</v>
          </cell>
        </row>
        <row r="884">
          <cell r="D884" t="str">
            <v>Elevadores</v>
          </cell>
          <cell r="E884">
            <v>2</v>
          </cell>
          <cell r="F884" t="str">
            <v>vb</v>
          </cell>
          <cell r="G884">
            <v>544000</v>
          </cell>
          <cell r="H884">
            <v>0</v>
          </cell>
          <cell r="I884" t="str">
            <v>01.020.001.001 - Elevadores</v>
          </cell>
          <cell r="J884" t="str">
            <v>3 - CUSTOS DIRETOS</v>
          </cell>
          <cell r="K884" t="str">
            <v>3 - CUSTOS DIRETOS1.020.001.001</v>
          </cell>
          <cell r="L884">
            <v>544000</v>
          </cell>
          <cell r="N884">
            <v>568752.20000000007</v>
          </cell>
          <cell r="O884">
            <v>0</v>
          </cell>
          <cell r="P884">
            <v>0</v>
          </cell>
          <cell r="Q884">
            <v>0</v>
          </cell>
          <cell r="R884">
            <v>568752.20000000007</v>
          </cell>
          <cell r="T884">
            <v>0</v>
          </cell>
          <cell r="U884">
            <v>568752.20000000007</v>
          </cell>
          <cell r="V884">
            <v>-24752.20000000007</v>
          </cell>
        </row>
        <row r="885">
          <cell r="D885" t="str">
            <v>LOUÇAS/METAIS</v>
          </cell>
          <cell r="I885" t="str">
            <v>01.021 - LOUÇAS/METAIS</v>
          </cell>
          <cell r="J885" t="str">
            <v>3 - CUSTOS DIRETOS</v>
          </cell>
          <cell r="K885" t="str">
            <v>3 - CUSTOS DIRETOS1.021</v>
          </cell>
          <cell r="L885">
            <v>461189.67000000004</v>
          </cell>
          <cell r="N885">
            <v>173651.19999999998</v>
          </cell>
          <cell r="O885">
            <v>41538.879999999997</v>
          </cell>
          <cell r="P885">
            <v>0</v>
          </cell>
          <cell r="Q885">
            <v>0</v>
          </cell>
          <cell r="R885">
            <v>215190.08</v>
          </cell>
          <cell r="T885">
            <v>14352.44</v>
          </cell>
          <cell r="U885">
            <v>229542.52</v>
          </cell>
          <cell r="V885">
            <v>231647.15000000005</v>
          </cell>
        </row>
        <row r="886">
          <cell r="D886" t="str">
            <v>LOUÇAS/ACESSORIOS</v>
          </cell>
          <cell r="I886" t="str">
            <v>01.021.001 - LOUÇAS/ACESSORIOS</v>
          </cell>
          <cell r="J886" t="str">
            <v>3 - CUSTOS DIRETOS</v>
          </cell>
          <cell r="K886" t="str">
            <v>3 - CUSTOS DIRETOS1.021.001</v>
          </cell>
          <cell r="L886">
            <v>356703.78</v>
          </cell>
          <cell r="N886">
            <v>162903.87</v>
          </cell>
          <cell r="O886">
            <v>425.12</v>
          </cell>
          <cell r="P886">
            <v>0</v>
          </cell>
          <cell r="Q886">
            <v>0</v>
          </cell>
          <cell r="R886">
            <v>163328.99</v>
          </cell>
          <cell r="T886">
            <v>0</v>
          </cell>
          <cell r="U886">
            <v>163328.99</v>
          </cell>
          <cell r="V886">
            <v>193374.79000000004</v>
          </cell>
        </row>
        <row r="887">
          <cell r="D887" t="str">
            <v>Bacia - Caixa Aclopada - Banho - Apartamentos</v>
          </cell>
          <cell r="E887">
            <v>240</v>
          </cell>
          <cell r="F887" t="str">
            <v>vb</v>
          </cell>
          <cell r="G887">
            <v>166326.19</v>
          </cell>
          <cell r="H887">
            <v>0</v>
          </cell>
          <cell r="I887" t="str">
            <v>01.021.001.001 - Bacia - Caixa Aclopada - Banho - Apartamentos</v>
          </cell>
          <cell r="J887" t="str">
            <v>3 - CUSTOS DIRETOS</v>
          </cell>
          <cell r="K887" t="str">
            <v>3 - CUSTOS DIRETOS1.021.001.001</v>
          </cell>
          <cell r="L887">
            <v>166326.19</v>
          </cell>
          <cell r="N887">
            <v>104319.31</v>
          </cell>
          <cell r="O887">
            <v>0</v>
          </cell>
          <cell r="P887">
            <v>0</v>
          </cell>
          <cell r="Q887">
            <v>0</v>
          </cell>
          <cell r="R887">
            <v>104319.31</v>
          </cell>
          <cell r="T887">
            <v>0</v>
          </cell>
          <cell r="U887">
            <v>104319.31</v>
          </cell>
          <cell r="V887">
            <v>62006.880000000005</v>
          </cell>
        </row>
        <row r="888">
          <cell r="D888" t="str">
            <v>Bacia - Caixa Aclopada - Lavatórios - Área Comum</v>
          </cell>
          <cell r="E888">
            <v>2</v>
          </cell>
          <cell r="F888" t="str">
            <v>vb</v>
          </cell>
          <cell r="G888">
            <v>1386.05</v>
          </cell>
          <cell r="H888">
            <v>0</v>
          </cell>
          <cell r="I888" t="str">
            <v>01.021.001.002 - Bacia - Caixa Aclopada - Lavatórios - Área Comum</v>
          </cell>
          <cell r="J888" t="str">
            <v>3 - CUSTOS DIRETOS</v>
          </cell>
          <cell r="K888" t="str">
            <v>3 - CUSTOS DIRETOS1.021.001.002</v>
          </cell>
          <cell r="L888">
            <v>1386.05</v>
          </cell>
          <cell r="N888">
            <v>869.34</v>
          </cell>
          <cell r="O888">
            <v>0</v>
          </cell>
          <cell r="P888">
            <v>0</v>
          </cell>
          <cell r="Q888">
            <v>0</v>
          </cell>
          <cell r="R888">
            <v>869.34</v>
          </cell>
          <cell r="T888">
            <v>0</v>
          </cell>
          <cell r="U888">
            <v>869.34</v>
          </cell>
          <cell r="V888">
            <v>516.70999999999992</v>
          </cell>
        </row>
        <row r="889">
          <cell r="D889" t="str">
            <v>Bacia - Caixa Aclopada - Lavatórios - Pcd</v>
          </cell>
          <cell r="E889">
            <v>4</v>
          </cell>
          <cell r="F889" t="str">
            <v>vb</v>
          </cell>
          <cell r="G889">
            <v>2772.1</v>
          </cell>
          <cell r="H889">
            <v>0</v>
          </cell>
          <cell r="I889" t="str">
            <v>01.021.001.003 - Bacia - Caixa Aclopada - Lavatórios - Pcd</v>
          </cell>
          <cell r="J889" t="str">
            <v>3 - CUSTOS DIRETOS</v>
          </cell>
          <cell r="K889" t="str">
            <v>3 - CUSTOS DIRETOS1.021.001.003</v>
          </cell>
          <cell r="L889">
            <v>2772.1</v>
          </cell>
          <cell r="N889">
            <v>2904.02</v>
          </cell>
          <cell r="O889">
            <v>0</v>
          </cell>
          <cell r="P889">
            <v>0</v>
          </cell>
          <cell r="Q889">
            <v>0</v>
          </cell>
          <cell r="R889">
            <v>2904.02</v>
          </cell>
          <cell r="T889">
            <v>0</v>
          </cell>
          <cell r="U889">
            <v>2904.02</v>
          </cell>
          <cell r="V889">
            <v>-131.92000000000007</v>
          </cell>
        </row>
        <row r="890">
          <cell r="D890" t="str">
            <v>Cuba - Banho - Apartamento</v>
          </cell>
          <cell r="E890">
            <v>240</v>
          </cell>
          <cell r="F890" t="str">
            <v>vb</v>
          </cell>
          <cell r="G890">
            <v>129563.78</v>
          </cell>
          <cell r="H890">
            <v>0</v>
          </cell>
          <cell r="I890" t="str">
            <v>01.021.001.004 - Cuba - Banho - Apartamento</v>
          </cell>
          <cell r="J890" t="str">
            <v>3 - CUSTOS DIRETOS</v>
          </cell>
          <cell r="K890" t="str">
            <v>3 - CUSTOS DIRETOS1.021.001.004</v>
          </cell>
          <cell r="L890">
            <v>129563.78</v>
          </cell>
          <cell r="N890">
            <v>20371.2</v>
          </cell>
          <cell r="O890">
            <v>0</v>
          </cell>
          <cell r="P890">
            <v>0</v>
          </cell>
          <cell r="Q890">
            <v>0</v>
          </cell>
          <cell r="R890">
            <v>20371.2</v>
          </cell>
          <cell r="T890">
            <v>0</v>
          </cell>
          <cell r="U890">
            <v>20371.2</v>
          </cell>
          <cell r="V890">
            <v>109192.58</v>
          </cell>
        </row>
        <row r="891">
          <cell r="D891" t="str">
            <v>Cuba - Lavatório - Área Comum</v>
          </cell>
          <cell r="E891">
            <v>2</v>
          </cell>
          <cell r="F891" t="str">
            <v>vb</v>
          </cell>
          <cell r="G891">
            <v>1079.7</v>
          </cell>
          <cell r="H891">
            <v>0</v>
          </cell>
          <cell r="I891" t="str">
            <v>01.021.001.005 - Cuba - Lavatório - Área Comum</v>
          </cell>
          <cell r="J891" t="str">
            <v>3 - CUSTOS DIRETOS</v>
          </cell>
          <cell r="K891" t="str">
            <v>3 - CUSTOS DIRETOS1.021.001.005</v>
          </cell>
          <cell r="L891">
            <v>1079.7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T891">
            <v>0</v>
          </cell>
          <cell r="U891">
            <v>0</v>
          </cell>
          <cell r="V891">
            <v>1079.7</v>
          </cell>
        </row>
        <row r="892">
          <cell r="D892" t="str">
            <v>Cuba - Lavatório - Pcd</v>
          </cell>
          <cell r="E892">
            <v>4</v>
          </cell>
          <cell r="F892" t="str">
            <v>vb</v>
          </cell>
          <cell r="G892">
            <v>2159.4</v>
          </cell>
          <cell r="H892">
            <v>0</v>
          </cell>
          <cell r="I892" t="str">
            <v>01.021.001.006 - Cuba - Lavatório - Pcd</v>
          </cell>
          <cell r="J892" t="str">
            <v>3 - CUSTOS DIRETOS</v>
          </cell>
          <cell r="K892" t="str">
            <v>3 - CUSTOS DIRETOS1.021.001.006</v>
          </cell>
          <cell r="L892">
            <v>2159.4</v>
          </cell>
          <cell r="N892">
            <v>0</v>
          </cell>
          <cell r="O892">
            <v>425.12</v>
          </cell>
          <cell r="P892">
            <v>0</v>
          </cell>
          <cell r="Q892">
            <v>0</v>
          </cell>
          <cell r="R892">
            <v>425.12</v>
          </cell>
          <cell r="T892">
            <v>0</v>
          </cell>
          <cell r="U892">
            <v>425.12</v>
          </cell>
          <cell r="V892">
            <v>1734.2800000000002</v>
          </cell>
        </row>
        <row r="893">
          <cell r="D893" t="str">
            <v>Tanque - Apartamentos</v>
          </cell>
          <cell r="E893">
            <v>120</v>
          </cell>
          <cell r="F893" t="str">
            <v>vb</v>
          </cell>
          <cell r="G893">
            <v>53416.56</v>
          </cell>
          <cell r="H893">
            <v>0</v>
          </cell>
          <cell r="I893" t="str">
            <v>01.021.001.007 - Tanque - Apartamentos</v>
          </cell>
          <cell r="J893" t="str">
            <v>3 - CUSTOS DIRETOS</v>
          </cell>
          <cell r="K893" t="str">
            <v>3 - CUSTOS DIRETOS1.021.001.007</v>
          </cell>
          <cell r="L893">
            <v>53416.56</v>
          </cell>
          <cell r="N893">
            <v>34440</v>
          </cell>
          <cell r="O893">
            <v>0</v>
          </cell>
          <cell r="P893">
            <v>0</v>
          </cell>
          <cell r="Q893">
            <v>0</v>
          </cell>
          <cell r="R893">
            <v>34440</v>
          </cell>
          <cell r="T893">
            <v>0</v>
          </cell>
          <cell r="U893">
            <v>34440</v>
          </cell>
          <cell r="V893">
            <v>18976.559999999998</v>
          </cell>
        </row>
        <row r="894">
          <cell r="D894" t="str">
            <v>METAIS</v>
          </cell>
          <cell r="I894" t="str">
            <v>01.021.002 - METAIS</v>
          </cell>
          <cell r="J894" t="str">
            <v>3 - CUSTOS DIRETOS</v>
          </cell>
          <cell r="K894" t="str">
            <v>3 - CUSTOS DIRETOS1.021.002</v>
          </cell>
          <cell r="L894">
            <v>104485.88999999998</v>
          </cell>
          <cell r="N894">
            <v>10747.33</v>
          </cell>
          <cell r="O894">
            <v>41113.759999999995</v>
          </cell>
          <cell r="P894">
            <v>0</v>
          </cell>
          <cell r="Q894">
            <v>0</v>
          </cell>
          <cell r="R894">
            <v>51861.09</v>
          </cell>
          <cell r="T894">
            <v>14352.44</v>
          </cell>
          <cell r="U894">
            <v>66213.53</v>
          </cell>
          <cell r="V894">
            <v>38272.359999999986</v>
          </cell>
        </row>
        <row r="895">
          <cell r="D895" t="str">
            <v>Cuba - Cozinha - Apartamento</v>
          </cell>
          <cell r="E895">
            <v>120</v>
          </cell>
          <cell r="F895" t="str">
            <v>vb</v>
          </cell>
          <cell r="G895">
            <v>27169.73</v>
          </cell>
          <cell r="H895">
            <v>0</v>
          </cell>
          <cell r="I895" t="str">
            <v>01.021.002.001 - Cuba - Cozinha - Apartamento</v>
          </cell>
          <cell r="J895" t="str">
            <v>3 - CUSTOS DIRETOS</v>
          </cell>
          <cell r="K895" t="str">
            <v>3 - CUSTOS DIRETOS1.021.002.001</v>
          </cell>
          <cell r="L895">
            <v>27169.73</v>
          </cell>
          <cell r="N895">
            <v>7495.67</v>
          </cell>
          <cell r="O895">
            <v>0</v>
          </cell>
          <cell r="P895">
            <v>0</v>
          </cell>
          <cell r="Q895">
            <v>0</v>
          </cell>
          <cell r="R895">
            <v>7495.67</v>
          </cell>
          <cell r="T895">
            <v>0</v>
          </cell>
          <cell r="U895">
            <v>7495.67</v>
          </cell>
          <cell r="V895">
            <v>19674.059999999998</v>
          </cell>
        </row>
        <row r="896">
          <cell r="D896" t="str">
            <v>Cuba - Cozinha - Área Comum</v>
          </cell>
          <cell r="E896">
            <v>2</v>
          </cell>
          <cell r="F896" t="str">
            <v>vb</v>
          </cell>
          <cell r="G896">
            <v>452.83</v>
          </cell>
          <cell r="H896">
            <v>0</v>
          </cell>
          <cell r="I896" t="str">
            <v>01.021.002.002 - Cuba - Cozinha - Área Comum</v>
          </cell>
          <cell r="J896" t="str">
            <v>3 - CUSTOS DIRETOS</v>
          </cell>
          <cell r="K896" t="str">
            <v>3 - CUSTOS DIRETOS1.021.002.002</v>
          </cell>
          <cell r="L896">
            <v>452.83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T896">
            <v>452.83</v>
          </cell>
          <cell r="U896">
            <v>452.83</v>
          </cell>
          <cell r="V896">
            <v>0</v>
          </cell>
        </row>
        <row r="897">
          <cell r="D897" t="str">
            <v>Ducha</v>
          </cell>
          <cell r="E897">
            <v>1</v>
          </cell>
          <cell r="F897" t="str">
            <v>vb</v>
          </cell>
          <cell r="G897">
            <v>449</v>
          </cell>
          <cell r="H897">
            <v>0</v>
          </cell>
          <cell r="I897" t="str">
            <v>01.021.002.003 - Ducha</v>
          </cell>
          <cell r="J897" t="str">
            <v>3 - CUSTOS DIRETOS</v>
          </cell>
          <cell r="K897" t="str">
            <v>3 - CUSTOS DIRETOS1.021.002.003</v>
          </cell>
          <cell r="L897">
            <v>449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T897">
            <v>449</v>
          </cell>
          <cell r="U897">
            <v>449</v>
          </cell>
          <cell r="V897">
            <v>0</v>
          </cell>
        </row>
        <row r="898">
          <cell r="D898" t="str">
            <v>Kit Barras Apoio - Acessibilidade</v>
          </cell>
          <cell r="E898">
            <v>4</v>
          </cell>
          <cell r="F898" t="str">
            <v>vb</v>
          </cell>
          <cell r="G898">
            <v>3724.12</v>
          </cell>
          <cell r="H898">
            <v>0</v>
          </cell>
          <cell r="I898" t="str">
            <v>01.021.002.004 - Kit Barras Apoio - Acessibilidade</v>
          </cell>
          <cell r="J898" t="str">
            <v>3 - CUSTOS DIRETOS</v>
          </cell>
          <cell r="K898" t="str">
            <v>3 - CUSTOS DIRETOS1.021.002.004</v>
          </cell>
          <cell r="L898">
            <v>3724.12</v>
          </cell>
          <cell r="N898">
            <v>0</v>
          </cell>
          <cell r="O898">
            <v>1017.63</v>
          </cell>
          <cell r="P898">
            <v>0</v>
          </cell>
          <cell r="Q898">
            <v>0</v>
          </cell>
          <cell r="R898">
            <v>1017.63</v>
          </cell>
          <cell r="T898">
            <v>2706.49</v>
          </cell>
          <cell r="U898">
            <v>3724.12</v>
          </cell>
          <cell r="V898">
            <v>0</v>
          </cell>
        </row>
        <row r="899">
          <cell r="D899" t="str">
            <v>Ralo</v>
          </cell>
          <cell r="E899">
            <v>133</v>
          </cell>
          <cell r="F899" t="str">
            <v>vb</v>
          </cell>
          <cell r="G899">
            <v>1729</v>
          </cell>
          <cell r="H899">
            <v>0</v>
          </cell>
          <cell r="I899" t="str">
            <v>01.021.002.005 - Ralo</v>
          </cell>
          <cell r="J899" t="str">
            <v>3 - CUSTOS DIRETOS</v>
          </cell>
          <cell r="K899" t="str">
            <v>3 - CUSTOS DIRETOS1.021.002.005</v>
          </cell>
          <cell r="L899">
            <v>1729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T899">
            <v>1729</v>
          </cell>
          <cell r="U899">
            <v>1729</v>
          </cell>
          <cell r="V899">
            <v>0</v>
          </cell>
        </row>
        <row r="900">
          <cell r="D900" t="str">
            <v>Registro</v>
          </cell>
          <cell r="E900">
            <v>363</v>
          </cell>
          <cell r="F900" t="str">
            <v>vb</v>
          </cell>
          <cell r="G900">
            <v>16186.17</v>
          </cell>
          <cell r="H900">
            <v>0</v>
          </cell>
          <cell r="I900" t="str">
            <v>01.021.002.006 - Registro</v>
          </cell>
          <cell r="J900" t="str">
            <v>3 - CUSTOS DIRETOS</v>
          </cell>
          <cell r="K900" t="str">
            <v>3 - CUSTOS DIRETOS1.021.002.006</v>
          </cell>
          <cell r="L900">
            <v>16186.17</v>
          </cell>
          <cell r="N900">
            <v>3251.66</v>
          </cell>
          <cell r="O900">
            <v>6947.27</v>
          </cell>
          <cell r="P900">
            <v>0</v>
          </cell>
          <cell r="Q900">
            <v>0</v>
          </cell>
          <cell r="R900">
            <v>10198.93</v>
          </cell>
          <cell r="T900">
            <v>0</v>
          </cell>
          <cell r="U900">
            <v>10198.93</v>
          </cell>
          <cell r="V900">
            <v>5987.24</v>
          </cell>
        </row>
        <row r="901">
          <cell r="D901" t="str">
            <v>Torneira - Banho - Apartamento</v>
          </cell>
          <cell r="E901">
            <v>240</v>
          </cell>
          <cell r="F901" t="str">
            <v>vb</v>
          </cell>
          <cell r="G901">
            <v>30028.799999999999</v>
          </cell>
          <cell r="H901">
            <v>0</v>
          </cell>
          <cell r="I901" t="str">
            <v>01.021.002.007 - Torneira - Banho - Apartamento</v>
          </cell>
          <cell r="J901" t="str">
            <v>3 - CUSTOS DIRETOS</v>
          </cell>
          <cell r="K901" t="str">
            <v>3 - CUSTOS DIRETOS1.021.002.007</v>
          </cell>
          <cell r="L901">
            <v>30028.799999999999</v>
          </cell>
          <cell r="N901">
            <v>0</v>
          </cell>
          <cell r="O901">
            <v>21141.599999999999</v>
          </cell>
          <cell r="P901">
            <v>0</v>
          </cell>
          <cell r="Q901">
            <v>0</v>
          </cell>
          <cell r="R901">
            <v>21141.599999999999</v>
          </cell>
          <cell r="T901">
            <v>0</v>
          </cell>
          <cell r="U901">
            <v>21141.599999999999</v>
          </cell>
          <cell r="V901">
            <v>8887.2000000000007</v>
          </cell>
        </row>
        <row r="902">
          <cell r="D902" t="str">
            <v>Torneira - Bica Alta - Área Comum</v>
          </cell>
          <cell r="E902">
            <v>2</v>
          </cell>
          <cell r="F902" t="str">
            <v>vb</v>
          </cell>
          <cell r="G902">
            <v>250.24</v>
          </cell>
          <cell r="H902">
            <v>0</v>
          </cell>
          <cell r="I902" t="str">
            <v>01.021.002.008 - Torneira - Bica Alta - Área Comum</v>
          </cell>
          <cell r="J902" t="str">
            <v>3 - CUSTOS DIRETOS</v>
          </cell>
          <cell r="K902" t="str">
            <v>3 - CUSTOS DIRETOS1.021.002.008</v>
          </cell>
          <cell r="L902">
            <v>250.24</v>
          </cell>
          <cell r="N902">
            <v>0</v>
          </cell>
          <cell r="O902">
            <v>91.12</v>
          </cell>
          <cell r="P902">
            <v>0</v>
          </cell>
          <cell r="Q902">
            <v>0</v>
          </cell>
          <cell r="R902">
            <v>91.12</v>
          </cell>
          <cell r="T902">
            <v>159.12</v>
          </cell>
          <cell r="U902">
            <v>250.24</v>
          </cell>
          <cell r="V902">
            <v>0</v>
          </cell>
        </row>
        <row r="903">
          <cell r="D903" t="str">
            <v>Torneira - Bica Alta - Cozinha - Apartamento</v>
          </cell>
          <cell r="E903">
            <v>120</v>
          </cell>
          <cell r="F903" t="str">
            <v>vb</v>
          </cell>
          <cell r="G903">
            <v>15014.4</v>
          </cell>
          <cell r="H903">
            <v>0</v>
          </cell>
          <cell r="I903" t="str">
            <v>01.021.002.009 - Torneira - Bica Alta - Cozinha - Apartamento</v>
          </cell>
          <cell r="J903" t="str">
            <v>3 - CUSTOS DIRETOS</v>
          </cell>
          <cell r="K903" t="str">
            <v>3 - CUSTOS DIRETOS1.021.002.009</v>
          </cell>
          <cell r="L903">
            <v>15014.4</v>
          </cell>
          <cell r="N903">
            <v>0</v>
          </cell>
          <cell r="O903">
            <v>10934.4</v>
          </cell>
          <cell r="P903">
            <v>0</v>
          </cell>
          <cell r="Q903">
            <v>0</v>
          </cell>
          <cell r="R903">
            <v>10934.4</v>
          </cell>
          <cell r="T903">
            <v>0</v>
          </cell>
          <cell r="U903">
            <v>10934.4</v>
          </cell>
          <cell r="V903">
            <v>4080</v>
          </cell>
        </row>
        <row r="904">
          <cell r="D904" t="str">
            <v>Torneira - Lavatório</v>
          </cell>
          <cell r="E904">
            <v>1</v>
          </cell>
          <cell r="F904" t="str">
            <v>vb</v>
          </cell>
          <cell r="G904">
            <v>125.12</v>
          </cell>
          <cell r="H904">
            <v>0</v>
          </cell>
          <cell r="I904" t="str">
            <v>01.021.002.010 - Torneira - Lavatório</v>
          </cell>
          <cell r="J904" t="str">
            <v>3 - CUSTOS DIRETOS</v>
          </cell>
          <cell r="K904" t="str">
            <v>3 - CUSTOS DIRETOS1.021.002.010</v>
          </cell>
          <cell r="L904">
            <v>125.12</v>
          </cell>
          <cell r="N904">
            <v>0</v>
          </cell>
          <cell r="O904">
            <v>176.18</v>
          </cell>
          <cell r="P904">
            <v>0</v>
          </cell>
          <cell r="Q904">
            <v>0</v>
          </cell>
          <cell r="R904">
            <v>176.18</v>
          </cell>
          <cell r="T904">
            <v>0</v>
          </cell>
          <cell r="U904">
            <v>176.18</v>
          </cell>
          <cell r="V904">
            <v>-51.06</v>
          </cell>
        </row>
        <row r="905">
          <cell r="D905" t="str">
            <v>Torneira - Lavatório Pcd</v>
          </cell>
          <cell r="E905">
            <v>4</v>
          </cell>
          <cell r="F905" t="str">
            <v>vb</v>
          </cell>
          <cell r="G905">
            <v>500.48</v>
          </cell>
          <cell r="H905">
            <v>0</v>
          </cell>
          <cell r="I905" t="str">
            <v>01.021.002.011 - Torneira - Lavatório Pcd</v>
          </cell>
          <cell r="J905" t="str">
            <v>3 - CUSTOS DIRETOS</v>
          </cell>
          <cell r="K905" t="str">
            <v>3 - CUSTOS DIRETOS1.021.002.011</v>
          </cell>
          <cell r="L905">
            <v>500.48</v>
          </cell>
          <cell r="N905">
            <v>0</v>
          </cell>
          <cell r="O905">
            <v>805.56</v>
          </cell>
          <cell r="P905">
            <v>0</v>
          </cell>
          <cell r="Q905">
            <v>0</v>
          </cell>
          <cell r="R905">
            <v>805.56</v>
          </cell>
          <cell r="T905">
            <v>0</v>
          </cell>
          <cell r="U905">
            <v>805.56</v>
          </cell>
          <cell r="V905">
            <v>-305.07999999999993</v>
          </cell>
        </row>
        <row r="906">
          <cell r="D906" t="str">
            <v>Torneira - Tanque - Apartamento</v>
          </cell>
          <cell r="E906">
            <v>120</v>
          </cell>
          <cell r="F906" t="str">
            <v>vb</v>
          </cell>
          <cell r="G906">
            <v>8730.8799999999992</v>
          </cell>
          <cell r="H906">
            <v>0</v>
          </cell>
          <cell r="I906" t="str">
            <v>01.021.002.012 - Torneira - Tanque - Apartamento</v>
          </cell>
          <cell r="J906" t="str">
            <v>3 - CUSTOS DIRETOS</v>
          </cell>
          <cell r="K906" t="str">
            <v>3 - CUSTOS DIRETOS1.021.002.012</v>
          </cell>
          <cell r="L906">
            <v>8730.8799999999992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T906">
            <v>8730.8799999999992</v>
          </cell>
          <cell r="U906">
            <v>8730.8799999999992</v>
          </cell>
          <cell r="V906">
            <v>0</v>
          </cell>
        </row>
        <row r="907">
          <cell r="D907" t="str">
            <v>Torneira De Jardim</v>
          </cell>
          <cell r="E907">
            <v>1</v>
          </cell>
          <cell r="F907" t="str">
            <v>vb</v>
          </cell>
          <cell r="G907">
            <v>125.12</v>
          </cell>
          <cell r="H907">
            <v>0</v>
          </cell>
          <cell r="I907" t="str">
            <v>01.021.002.013 - Torneira De Jardim</v>
          </cell>
          <cell r="J907" t="str">
            <v>3 - CUSTOS DIRETOS</v>
          </cell>
          <cell r="K907" t="str">
            <v>3 - CUSTOS DIRETOS1.021.002.013</v>
          </cell>
          <cell r="L907">
            <v>125.12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T907">
            <v>125.12</v>
          </cell>
          <cell r="U907">
            <v>125.12</v>
          </cell>
          <cell r="V907">
            <v>0</v>
          </cell>
        </row>
        <row r="908">
          <cell r="D908" t="str">
            <v>PAISAGISMO</v>
          </cell>
          <cell r="I908" t="str">
            <v>01.022 - PAISAGISMO</v>
          </cell>
          <cell r="J908" t="str">
            <v>3 - CUSTOS DIRETOS</v>
          </cell>
          <cell r="K908" t="str">
            <v>3 - CUSTOS DIRETOS1.022</v>
          </cell>
          <cell r="L908">
            <v>30000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T908">
            <v>30000</v>
          </cell>
          <cell r="U908">
            <v>30000</v>
          </cell>
          <cell r="V908">
            <v>0</v>
          </cell>
        </row>
        <row r="909">
          <cell r="D909" t="str">
            <v>PAISAGISMO</v>
          </cell>
          <cell r="I909" t="str">
            <v>01.022.001 - PAISAGISMO</v>
          </cell>
          <cell r="J909" t="str">
            <v>3 - CUSTOS DIRETOS</v>
          </cell>
          <cell r="K909" t="str">
            <v>3 - CUSTOS DIRETOS1.022.001</v>
          </cell>
          <cell r="L909">
            <v>30000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T909">
            <v>30000</v>
          </cell>
          <cell r="U909">
            <v>30000</v>
          </cell>
          <cell r="V909">
            <v>0</v>
          </cell>
        </row>
        <row r="910">
          <cell r="D910" t="str">
            <v>Paisagismo</v>
          </cell>
          <cell r="E910">
            <v>1</v>
          </cell>
          <cell r="F910" t="str">
            <v>vb</v>
          </cell>
          <cell r="G910">
            <v>30000</v>
          </cell>
          <cell r="H910">
            <v>0</v>
          </cell>
          <cell r="I910" t="str">
            <v>01.022.001.001 - Paisagismo</v>
          </cell>
          <cell r="J910" t="str">
            <v>3 - CUSTOS DIRETOS</v>
          </cell>
          <cell r="K910" t="str">
            <v>3 - CUSTOS DIRETOS1.022.001.001</v>
          </cell>
          <cell r="L910">
            <v>30000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T910">
            <v>30000</v>
          </cell>
          <cell r="U910">
            <v>30000</v>
          </cell>
          <cell r="V910">
            <v>0</v>
          </cell>
        </row>
        <row r="911">
          <cell r="D911" t="str">
            <v>SERVIÇOS COMPLEMENTARES</v>
          </cell>
          <cell r="I911" t="str">
            <v>01.023 - SERVIÇOS COMPLEMENTARES</v>
          </cell>
          <cell r="J911" t="str">
            <v>3 - CUSTOS DIRETOS</v>
          </cell>
          <cell r="K911" t="str">
            <v>3 - CUSTOS DIRETOS1.023</v>
          </cell>
          <cell r="L911">
            <v>165650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T911">
            <v>165650</v>
          </cell>
          <cell r="U911">
            <v>165650</v>
          </cell>
          <cell r="V911">
            <v>0</v>
          </cell>
        </row>
        <row r="912">
          <cell r="D912" t="str">
            <v>SERVIÇOS COMPLEMENTARES</v>
          </cell>
          <cell r="I912" t="str">
            <v>01.023.001 - SERVIÇOS COMPLEMENTARES</v>
          </cell>
          <cell r="J912" t="str">
            <v>3 - CUSTOS DIRETOS</v>
          </cell>
          <cell r="K912" t="str">
            <v>3 - CUSTOS DIRETOS1.023.001</v>
          </cell>
          <cell r="L912">
            <v>165650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T912">
            <v>165650</v>
          </cell>
          <cell r="U912">
            <v>165650</v>
          </cell>
          <cell r="V912">
            <v>0</v>
          </cell>
        </row>
        <row r="913">
          <cell r="D913" t="str">
            <v>Equipamentos Piscinas Área Comum</v>
          </cell>
          <cell r="E913">
            <v>1</v>
          </cell>
          <cell r="F913" t="str">
            <v>vb</v>
          </cell>
          <cell r="G913">
            <v>35000</v>
          </cell>
          <cell r="H913">
            <v>0</v>
          </cell>
          <cell r="I913" t="str">
            <v>01.023.001.001 - Equipamentos Piscinas Área Comum</v>
          </cell>
          <cell r="J913" t="str">
            <v>3 - CUSTOS DIRETOS</v>
          </cell>
          <cell r="K913" t="str">
            <v>3 - CUSTOS DIRETOS1.023.001.001</v>
          </cell>
          <cell r="L913">
            <v>35000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T913">
            <v>35000</v>
          </cell>
          <cell r="U913">
            <v>35000</v>
          </cell>
          <cell r="V913">
            <v>0</v>
          </cell>
        </row>
        <row r="914">
          <cell r="D914" t="str">
            <v>Sinalizador Rotativo</v>
          </cell>
          <cell r="E914">
            <v>1</v>
          </cell>
          <cell r="F914" t="str">
            <v>vb</v>
          </cell>
          <cell r="G914">
            <v>650</v>
          </cell>
          <cell r="H914">
            <v>0</v>
          </cell>
          <cell r="I914" t="str">
            <v>01.023.001.002 - Sinalizador Rotativo</v>
          </cell>
          <cell r="J914" t="str">
            <v>3 - CUSTOS DIRETOS</v>
          </cell>
          <cell r="K914" t="str">
            <v>3 - CUSTOS DIRETOS1.023.001.002</v>
          </cell>
          <cell r="L914">
            <v>650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T914">
            <v>650</v>
          </cell>
          <cell r="U914">
            <v>650</v>
          </cell>
          <cell r="V914">
            <v>0</v>
          </cell>
        </row>
        <row r="915">
          <cell r="D915" t="str">
            <v>Mobiliario</v>
          </cell>
          <cell r="E915">
            <v>1</v>
          </cell>
          <cell r="F915" t="str">
            <v>vb</v>
          </cell>
          <cell r="G915">
            <v>30000</v>
          </cell>
          <cell r="H915">
            <v>0</v>
          </cell>
          <cell r="I915" t="str">
            <v>01.023.001.003 - Mobiliario</v>
          </cell>
          <cell r="J915" t="str">
            <v>3 - CUSTOS DIRETOS</v>
          </cell>
          <cell r="K915" t="str">
            <v>3 - CUSTOS DIRETOS1.023.001.003</v>
          </cell>
          <cell r="L915">
            <v>30000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T915">
            <v>30000</v>
          </cell>
          <cell r="U915">
            <v>30000</v>
          </cell>
          <cell r="V915">
            <v>0</v>
          </cell>
        </row>
        <row r="916">
          <cell r="D916" t="str">
            <v>Marcenaria</v>
          </cell>
          <cell r="E916">
            <v>1</v>
          </cell>
          <cell r="F916" t="str">
            <v>vb</v>
          </cell>
          <cell r="G916">
            <v>50000</v>
          </cell>
          <cell r="H916">
            <v>0</v>
          </cell>
          <cell r="I916" t="str">
            <v>01.023.001.004 - Marcenaria</v>
          </cell>
          <cell r="J916" t="str">
            <v>3 - CUSTOS DIRETOS</v>
          </cell>
          <cell r="K916" t="str">
            <v>3 - CUSTOS DIRETOS1.023.001.004</v>
          </cell>
          <cell r="L916">
            <v>50000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T916">
            <v>50000</v>
          </cell>
          <cell r="U916">
            <v>50000</v>
          </cell>
          <cell r="V916">
            <v>0</v>
          </cell>
        </row>
        <row r="917">
          <cell r="D917" t="str">
            <v>Comunicação Visual</v>
          </cell>
          <cell r="E917">
            <v>1</v>
          </cell>
          <cell r="F917" t="str">
            <v>vb</v>
          </cell>
          <cell r="G917">
            <v>50000</v>
          </cell>
          <cell r="H917">
            <v>0</v>
          </cell>
          <cell r="I917" t="str">
            <v>01.023.001.005 - Comunicação Visual</v>
          </cell>
          <cell r="J917" t="str">
            <v>3 - CUSTOS DIRETOS</v>
          </cell>
          <cell r="K917" t="str">
            <v>3 - CUSTOS DIRETOS1.023.001.005</v>
          </cell>
          <cell r="L917">
            <v>50000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T917">
            <v>50000</v>
          </cell>
          <cell r="U917">
            <v>50000</v>
          </cell>
          <cell r="V917">
            <v>0</v>
          </cell>
        </row>
        <row r="918">
          <cell r="D918" t="str">
            <v>LIMPEZA E DESMOBILIZAÇÃO</v>
          </cell>
          <cell r="I918" t="str">
            <v>01.024 - LIMPEZA E DESMOBILIZAÇÃO</v>
          </cell>
          <cell r="J918" t="str">
            <v>3 - CUSTOS DIRETOS</v>
          </cell>
          <cell r="K918" t="str">
            <v>3 - CUSTOS DIRETOS1.024</v>
          </cell>
          <cell r="L918">
            <v>73179.929999999993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T918">
            <v>73179.929999999993</v>
          </cell>
          <cell r="U918">
            <v>73179.929999999993</v>
          </cell>
          <cell r="V918">
            <v>0</v>
          </cell>
        </row>
      </sheetData>
      <sheetData sheetId="8"/>
      <sheetData sheetId="9"/>
      <sheetData sheetId="10">
        <row r="10">
          <cell r="E10" t="str">
            <v>Rótulos de Linha</v>
          </cell>
          <cell r="F10" t="str">
            <v xml:space="preserve">TOTAL PAGO </v>
          </cell>
          <cell r="G10" t="str">
            <v xml:space="preserve">TOTAL A PAGAR </v>
          </cell>
          <cell r="H10" t="str">
            <v xml:space="preserve">TOTAL SALDO DE CONTRATOS </v>
          </cell>
          <cell r="I10" t="str">
            <v xml:space="preserve">TOTAL PEDIDOS </v>
          </cell>
          <cell r="J10" t="str">
            <v>TOTAL COMPROMETIDO</v>
          </cell>
        </row>
        <row r="11">
          <cell r="E11">
            <v>44621</v>
          </cell>
          <cell r="F11">
            <v>9385</v>
          </cell>
          <cell r="G11">
            <v>0</v>
          </cell>
          <cell r="H11">
            <v>0</v>
          </cell>
          <cell r="I11">
            <v>0</v>
          </cell>
          <cell r="J11">
            <v>9385</v>
          </cell>
        </row>
        <row r="12">
          <cell r="E12">
            <v>44652</v>
          </cell>
          <cell r="F12">
            <v>788.22</v>
          </cell>
          <cell r="G12">
            <v>0</v>
          </cell>
          <cell r="H12">
            <v>0</v>
          </cell>
          <cell r="I12">
            <v>0</v>
          </cell>
          <cell r="J12">
            <v>788.22</v>
          </cell>
        </row>
        <row r="13">
          <cell r="E13">
            <v>44682</v>
          </cell>
          <cell r="F13">
            <v>48912.340000000004</v>
          </cell>
          <cell r="G13">
            <v>0</v>
          </cell>
          <cell r="H13">
            <v>0</v>
          </cell>
          <cell r="I13">
            <v>0</v>
          </cell>
          <cell r="J13">
            <v>48912.340000000004</v>
          </cell>
        </row>
        <row r="14">
          <cell r="E14">
            <v>44713</v>
          </cell>
          <cell r="F14">
            <v>57197.459999999985</v>
          </cell>
          <cell r="G14">
            <v>0</v>
          </cell>
          <cell r="H14">
            <v>0</v>
          </cell>
          <cell r="I14">
            <v>0</v>
          </cell>
          <cell r="J14">
            <v>57197.459999999985</v>
          </cell>
        </row>
        <row r="15">
          <cell r="E15">
            <v>44743</v>
          </cell>
          <cell r="F15">
            <v>9314.39</v>
          </cell>
          <cell r="G15">
            <v>0</v>
          </cell>
          <cell r="H15">
            <v>0</v>
          </cell>
          <cell r="I15">
            <v>0</v>
          </cell>
          <cell r="J15">
            <v>9314.39</v>
          </cell>
        </row>
        <row r="16">
          <cell r="E16">
            <v>44774</v>
          </cell>
          <cell r="F16">
            <v>4135.38</v>
          </cell>
          <cell r="G16">
            <v>0</v>
          </cell>
          <cell r="H16">
            <v>0</v>
          </cell>
          <cell r="I16">
            <v>0</v>
          </cell>
          <cell r="J16">
            <v>4135.38</v>
          </cell>
        </row>
        <row r="17">
          <cell r="E17">
            <v>44805</v>
          </cell>
          <cell r="F17">
            <v>18278.54</v>
          </cell>
          <cell r="G17">
            <v>0</v>
          </cell>
          <cell r="H17">
            <v>0</v>
          </cell>
          <cell r="I17">
            <v>0</v>
          </cell>
          <cell r="J17">
            <v>18278.54</v>
          </cell>
        </row>
        <row r="18">
          <cell r="E18">
            <v>44835</v>
          </cell>
          <cell r="F18">
            <v>36490.550000000003</v>
          </cell>
          <cell r="G18">
            <v>0</v>
          </cell>
          <cell r="H18">
            <v>0</v>
          </cell>
          <cell r="I18">
            <v>0</v>
          </cell>
          <cell r="J18">
            <v>36490.550000000003</v>
          </cell>
        </row>
        <row r="19">
          <cell r="E19">
            <v>44866</v>
          </cell>
          <cell r="F19">
            <v>16437.04</v>
          </cell>
          <cell r="G19">
            <v>0</v>
          </cell>
          <cell r="H19">
            <v>0</v>
          </cell>
          <cell r="I19">
            <v>0</v>
          </cell>
          <cell r="J19">
            <v>16437.04</v>
          </cell>
        </row>
        <row r="20">
          <cell r="E20">
            <v>44896</v>
          </cell>
          <cell r="F20">
            <v>45732</v>
          </cell>
          <cell r="G20">
            <v>0</v>
          </cell>
          <cell r="H20">
            <v>0</v>
          </cell>
          <cell r="I20">
            <v>0</v>
          </cell>
          <cell r="J20">
            <v>45732</v>
          </cell>
        </row>
        <row r="21">
          <cell r="E21">
            <v>44927</v>
          </cell>
          <cell r="F21">
            <v>17932.21</v>
          </cell>
          <cell r="G21">
            <v>0</v>
          </cell>
          <cell r="H21">
            <v>0</v>
          </cell>
          <cell r="I21">
            <v>0</v>
          </cell>
          <cell r="J21">
            <v>17932.21</v>
          </cell>
        </row>
        <row r="22">
          <cell r="E22">
            <v>44958</v>
          </cell>
          <cell r="F22">
            <v>53756.24</v>
          </cell>
          <cell r="G22">
            <v>0</v>
          </cell>
          <cell r="H22">
            <v>0</v>
          </cell>
          <cell r="I22">
            <v>0</v>
          </cell>
          <cell r="J22">
            <v>53756.24</v>
          </cell>
        </row>
        <row r="23">
          <cell r="E23">
            <v>44986</v>
          </cell>
          <cell r="F23">
            <v>36430.75</v>
          </cell>
          <cell r="G23">
            <v>0</v>
          </cell>
          <cell r="H23">
            <v>0</v>
          </cell>
          <cell r="I23">
            <v>0</v>
          </cell>
          <cell r="J23">
            <v>36430.75</v>
          </cell>
        </row>
        <row r="24">
          <cell r="E24">
            <v>45017</v>
          </cell>
          <cell r="F24">
            <v>42274.979999999996</v>
          </cell>
          <cell r="G24">
            <v>0</v>
          </cell>
          <cell r="H24">
            <v>0</v>
          </cell>
          <cell r="I24">
            <v>0</v>
          </cell>
          <cell r="J24">
            <v>42274.979999999996</v>
          </cell>
        </row>
        <row r="25">
          <cell r="E25">
            <v>45047</v>
          </cell>
          <cell r="F25">
            <v>33164.04</v>
          </cell>
          <cell r="G25">
            <v>0</v>
          </cell>
          <cell r="H25">
            <v>0</v>
          </cell>
          <cell r="I25">
            <v>0</v>
          </cell>
          <cell r="J25">
            <v>33164.04</v>
          </cell>
        </row>
        <row r="26">
          <cell r="E26">
            <v>45078</v>
          </cell>
          <cell r="F26">
            <v>44100.280000000006</v>
          </cell>
          <cell r="G26">
            <v>0</v>
          </cell>
          <cell r="H26">
            <v>0</v>
          </cell>
          <cell r="I26">
            <v>0</v>
          </cell>
          <cell r="J26">
            <v>44100.280000000006</v>
          </cell>
        </row>
        <row r="27">
          <cell r="E27">
            <v>45108</v>
          </cell>
          <cell r="F27">
            <v>61013.12000000001</v>
          </cell>
          <cell r="G27">
            <v>0</v>
          </cell>
          <cell r="H27">
            <v>0</v>
          </cell>
          <cell r="I27">
            <v>0</v>
          </cell>
          <cell r="J27">
            <v>61013.12000000001</v>
          </cell>
        </row>
        <row r="28">
          <cell r="E28">
            <v>45139</v>
          </cell>
          <cell r="F28">
            <v>128762.67</v>
          </cell>
          <cell r="G28">
            <v>0</v>
          </cell>
          <cell r="H28">
            <v>0</v>
          </cell>
          <cell r="I28">
            <v>0</v>
          </cell>
          <cell r="J28">
            <v>128762.67</v>
          </cell>
        </row>
        <row r="29">
          <cell r="E29">
            <v>45170</v>
          </cell>
          <cell r="F29">
            <v>68669.770000000019</v>
          </cell>
          <cell r="G29">
            <v>0</v>
          </cell>
          <cell r="H29">
            <v>0</v>
          </cell>
          <cell r="I29">
            <v>0</v>
          </cell>
          <cell r="J29">
            <v>68669.770000000019</v>
          </cell>
        </row>
        <row r="30">
          <cell r="E30">
            <v>45200</v>
          </cell>
          <cell r="F30">
            <v>255986.18</v>
          </cell>
          <cell r="G30">
            <v>0</v>
          </cell>
          <cell r="H30">
            <v>0</v>
          </cell>
          <cell r="I30">
            <v>0</v>
          </cell>
          <cell r="J30">
            <v>255986.18</v>
          </cell>
        </row>
        <row r="31">
          <cell r="E31">
            <v>45231</v>
          </cell>
          <cell r="F31">
            <v>169383.21999999997</v>
          </cell>
          <cell r="G31">
            <v>0</v>
          </cell>
          <cell r="H31">
            <v>0</v>
          </cell>
          <cell r="I31">
            <v>0</v>
          </cell>
          <cell r="J31">
            <v>169383.21999999997</v>
          </cell>
        </row>
        <row r="32">
          <cell r="E32">
            <v>45261</v>
          </cell>
          <cell r="F32">
            <v>470567.16</v>
          </cell>
          <cell r="G32">
            <v>0</v>
          </cell>
          <cell r="H32">
            <v>0</v>
          </cell>
          <cell r="I32">
            <v>0</v>
          </cell>
          <cell r="J32">
            <v>470567.16</v>
          </cell>
        </row>
        <row r="33">
          <cell r="E33">
            <v>45292</v>
          </cell>
          <cell r="F33">
            <v>172297.39999999997</v>
          </cell>
          <cell r="G33">
            <v>0</v>
          </cell>
          <cell r="H33">
            <v>0</v>
          </cell>
          <cell r="I33">
            <v>0</v>
          </cell>
          <cell r="J33">
            <v>172297.39999999997</v>
          </cell>
        </row>
        <row r="34">
          <cell r="E34">
            <v>45323</v>
          </cell>
          <cell r="F34">
            <v>135790.87</v>
          </cell>
          <cell r="G34">
            <v>0</v>
          </cell>
          <cell r="H34">
            <v>0</v>
          </cell>
          <cell r="I34">
            <v>0</v>
          </cell>
          <cell r="J34">
            <v>135790.87</v>
          </cell>
        </row>
        <row r="35">
          <cell r="E35">
            <v>45352</v>
          </cell>
          <cell r="F35">
            <v>144913.18000000005</v>
          </cell>
          <cell r="G35">
            <v>0</v>
          </cell>
          <cell r="H35">
            <v>0</v>
          </cell>
          <cell r="I35">
            <v>0</v>
          </cell>
          <cell r="J35">
            <v>144913.18000000005</v>
          </cell>
        </row>
        <row r="36">
          <cell r="E36">
            <v>45383</v>
          </cell>
          <cell r="F36">
            <v>78135.970000000016</v>
          </cell>
          <cell r="G36">
            <v>0</v>
          </cell>
          <cell r="H36">
            <v>0</v>
          </cell>
          <cell r="I36">
            <v>0</v>
          </cell>
          <cell r="J36">
            <v>78135.970000000016</v>
          </cell>
        </row>
        <row r="37">
          <cell r="E37">
            <v>45413</v>
          </cell>
          <cell r="F37">
            <v>198492.28999999998</v>
          </cell>
          <cell r="G37">
            <v>0</v>
          </cell>
          <cell r="H37">
            <v>0</v>
          </cell>
          <cell r="I37">
            <v>0</v>
          </cell>
          <cell r="J37">
            <v>198492.28999999998</v>
          </cell>
        </row>
        <row r="38">
          <cell r="E38">
            <v>45444</v>
          </cell>
          <cell r="F38">
            <v>374885.31</v>
          </cell>
          <cell r="G38">
            <v>0</v>
          </cell>
          <cell r="H38">
            <v>0</v>
          </cell>
          <cell r="I38">
            <v>0</v>
          </cell>
          <cell r="J38">
            <v>374885.31</v>
          </cell>
        </row>
        <row r="39">
          <cell r="E39">
            <v>45474</v>
          </cell>
          <cell r="F39">
            <v>515455.3299999999</v>
          </cell>
          <cell r="G39">
            <v>0</v>
          </cell>
          <cell r="H39">
            <v>0</v>
          </cell>
          <cell r="I39">
            <v>0</v>
          </cell>
          <cell r="J39">
            <v>515455.3299999999</v>
          </cell>
        </row>
        <row r="40">
          <cell r="E40">
            <v>45505</v>
          </cell>
          <cell r="F40">
            <v>646432.1</v>
          </cell>
          <cell r="G40">
            <v>0</v>
          </cell>
          <cell r="H40">
            <v>0</v>
          </cell>
          <cell r="I40">
            <v>0</v>
          </cell>
          <cell r="J40">
            <v>646432.1</v>
          </cell>
        </row>
        <row r="41">
          <cell r="E41">
            <v>45536</v>
          </cell>
          <cell r="F41">
            <v>793175.64000000013</v>
          </cell>
          <cell r="G41">
            <v>0</v>
          </cell>
          <cell r="H41">
            <v>0</v>
          </cell>
          <cell r="I41">
            <v>0</v>
          </cell>
          <cell r="J41">
            <v>793175.64000000013</v>
          </cell>
        </row>
        <row r="42">
          <cell r="E42">
            <v>45566</v>
          </cell>
          <cell r="F42">
            <v>678374.87000000034</v>
          </cell>
          <cell r="G42">
            <v>0</v>
          </cell>
          <cell r="H42">
            <v>0</v>
          </cell>
          <cell r="I42">
            <v>0</v>
          </cell>
          <cell r="J42">
            <v>678374.87000000034</v>
          </cell>
        </row>
        <row r="43">
          <cell r="E43">
            <v>45597</v>
          </cell>
          <cell r="F43">
            <v>515716.28000000009</v>
          </cell>
          <cell r="G43">
            <v>0</v>
          </cell>
          <cell r="H43">
            <v>0</v>
          </cell>
          <cell r="I43">
            <v>0</v>
          </cell>
          <cell r="J43">
            <v>515716.28000000009</v>
          </cell>
        </row>
        <row r="44">
          <cell r="E44">
            <v>45627</v>
          </cell>
          <cell r="F44">
            <v>590926.61999999988</v>
          </cell>
          <cell r="G44">
            <v>0</v>
          </cell>
          <cell r="H44">
            <v>0</v>
          </cell>
          <cell r="I44">
            <v>0</v>
          </cell>
          <cell r="J44">
            <v>590926.61999999988</v>
          </cell>
        </row>
        <row r="45">
          <cell r="E45">
            <v>45658</v>
          </cell>
          <cell r="F45">
            <v>568638.25999999978</v>
          </cell>
          <cell r="G45">
            <v>0</v>
          </cell>
          <cell r="H45">
            <v>0</v>
          </cell>
          <cell r="I45">
            <v>0</v>
          </cell>
          <cell r="J45">
            <v>568638.25999999978</v>
          </cell>
        </row>
        <row r="46">
          <cell r="E46">
            <v>45689</v>
          </cell>
          <cell r="F46">
            <v>585616.60000000021</v>
          </cell>
          <cell r="G46">
            <v>0</v>
          </cell>
          <cell r="H46">
            <v>0</v>
          </cell>
          <cell r="I46">
            <v>0</v>
          </cell>
          <cell r="J46">
            <v>585616.60000000021</v>
          </cell>
        </row>
        <row r="47">
          <cell r="E47">
            <v>45717</v>
          </cell>
          <cell r="F47">
            <v>858980.62999999989</v>
          </cell>
          <cell r="G47">
            <v>0</v>
          </cell>
          <cell r="H47">
            <v>0</v>
          </cell>
          <cell r="I47">
            <v>0</v>
          </cell>
          <cell r="J47">
            <v>858980.62999999989</v>
          </cell>
        </row>
        <row r="48">
          <cell r="E48">
            <v>45748</v>
          </cell>
          <cell r="F48">
            <v>564642.35999999952</v>
          </cell>
          <cell r="G48">
            <v>0</v>
          </cell>
          <cell r="H48">
            <v>0</v>
          </cell>
          <cell r="I48">
            <v>0</v>
          </cell>
          <cell r="J48">
            <v>564642.35999999952</v>
          </cell>
        </row>
        <row r="49">
          <cell r="E49">
            <v>45778</v>
          </cell>
          <cell r="F49">
            <v>649919.74000000011</v>
          </cell>
          <cell r="G49">
            <v>0</v>
          </cell>
          <cell r="H49">
            <v>0</v>
          </cell>
          <cell r="I49">
            <v>0</v>
          </cell>
          <cell r="J49">
            <v>649919.74000000011</v>
          </cell>
        </row>
        <row r="50">
          <cell r="E50">
            <v>45809</v>
          </cell>
          <cell r="F50">
            <v>844114.25999999989</v>
          </cell>
          <cell r="G50">
            <v>0</v>
          </cell>
          <cell r="H50">
            <v>0</v>
          </cell>
          <cell r="I50">
            <v>0</v>
          </cell>
          <cell r="J50">
            <v>844114.25999999989</v>
          </cell>
        </row>
        <row r="51">
          <cell r="E51">
            <v>45839</v>
          </cell>
          <cell r="F51">
            <v>819337.64999999898</v>
          </cell>
          <cell r="G51">
            <v>0</v>
          </cell>
          <cell r="H51">
            <v>0</v>
          </cell>
          <cell r="I51">
            <v>0</v>
          </cell>
          <cell r="J51">
            <v>819337.64999999898</v>
          </cell>
        </row>
        <row r="52">
          <cell r="E52">
            <v>45870</v>
          </cell>
          <cell r="F52">
            <v>1059435.6399999992</v>
          </cell>
          <cell r="G52">
            <v>0</v>
          </cell>
          <cell r="H52">
            <v>0</v>
          </cell>
          <cell r="I52">
            <v>0</v>
          </cell>
          <cell r="J52">
            <v>1059435.6399999992</v>
          </cell>
        </row>
        <row r="53">
          <cell r="E53">
            <v>45901</v>
          </cell>
          <cell r="F53">
            <v>1142428.5000000014</v>
          </cell>
          <cell r="G53">
            <v>0</v>
          </cell>
          <cell r="H53">
            <v>0</v>
          </cell>
          <cell r="I53">
            <v>0</v>
          </cell>
          <cell r="J53">
            <v>1142428.5000000014</v>
          </cell>
        </row>
        <row r="54">
          <cell r="E54">
            <v>45931</v>
          </cell>
          <cell r="F54">
            <v>1226706.6200000006</v>
          </cell>
          <cell r="G54">
            <v>0</v>
          </cell>
          <cell r="H54">
            <v>0</v>
          </cell>
          <cell r="I54">
            <v>0</v>
          </cell>
          <cell r="J54">
            <v>1226706.6200000006</v>
          </cell>
        </row>
        <row r="55">
          <cell r="E55">
            <v>45962</v>
          </cell>
          <cell r="F55">
            <v>1117139.5399999991</v>
          </cell>
          <cell r="G55">
            <v>0</v>
          </cell>
          <cell r="H55">
            <v>0</v>
          </cell>
          <cell r="I55">
            <v>0</v>
          </cell>
          <cell r="J55">
            <v>1117139.5399999991</v>
          </cell>
        </row>
        <row r="56">
          <cell r="E56">
            <v>45992</v>
          </cell>
          <cell r="F56">
            <v>1282301.9500000039</v>
          </cell>
          <cell r="G56">
            <v>0</v>
          </cell>
          <cell r="H56">
            <v>0</v>
          </cell>
          <cell r="I56">
            <v>0</v>
          </cell>
          <cell r="J56">
            <v>1282301.9500000039</v>
          </cell>
        </row>
        <row r="57">
          <cell r="E57">
            <v>46023</v>
          </cell>
          <cell r="F57">
            <v>863349.51000000106</v>
          </cell>
          <cell r="G57">
            <v>0</v>
          </cell>
          <cell r="H57">
            <v>0</v>
          </cell>
          <cell r="I57">
            <v>0</v>
          </cell>
          <cell r="J57">
            <v>863349.51000000106</v>
          </cell>
        </row>
        <row r="58">
          <cell r="E58">
            <v>46054</v>
          </cell>
          <cell r="F58">
            <v>897403.9700000009</v>
          </cell>
          <cell r="G58">
            <v>0</v>
          </cell>
          <cell r="H58">
            <v>0</v>
          </cell>
          <cell r="I58">
            <v>0</v>
          </cell>
          <cell r="J58">
            <v>897403.9700000009</v>
          </cell>
        </row>
        <row r="59">
          <cell r="E59">
            <v>46082</v>
          </cell>
          <cell r="F59">
            <v>1009458.4400000002</v>
          </cell>
          <cell r="G59">
            <v>0</v>
          </cell>
          <cell r="H59">
            <v>0</v>
          </cell>
          <cell r="I59">
            <v>0</v>
          </cell>
          <cell r="J59">
            <v>1009458.4400000002</v>
          </cell>
        </row>
        <row r="60">
          <cell r="E60">
            <v>46113</v>
          </cell>
          <cell r="F60">
            <v>883289.21000000031</v>
          </cell>
          <cell r="G60">
            <v>0</v>
          </cell>
          <cell r="H60">
            <v>0</v>
          </cell>
          <cell r="I60">
            <v>0</v>
          </cell>
          <cell r="J60">
            <v>883289.21000000031</v>
          </cell>
        </row>
        <row r="61">
          <cell r="E61">
            <v>46143</v>
          </cell>
          <cell r="F61">
            <v>1089938.74</v>
          </cell>
          <cell r="G61">
            <v>0</v>
          </cell>
          <cell r="H61">
            <v>0</v>
          </cell>
          <cell r="I61">
            <v>0</v>
          </cell>
          <cell r="J61">
            <v>1089938.74</v>
          </cell>
        </row>
        <row r="62">
          <cell r="E62">
            <v>46174</v>
          </cell>
          <cell r="F62">
            <v>1161053.5500000005</v>
          </cell>
          <cell r="G62">
            <v>0</v>
          </cell>
          <cell r="H62">
            <v>0</v>
          </cell>
          <cell r="I62">
            <v>0</v>
          </cell>
          <cell r="J62">
            <v>1161053.5500000005</v>
          </cell>
        </row>
        <row r="63">
          <cell r="E63">
            <v>46204</v>
          </cell>
          <cell r="F63">
            <v>1509180.4900000002</v>
          </cell>
          <cell r="G63">
            <v>0</v>
          </cell>
          <cell r="H63">
            <v>0</v>
          </cell>
          <cell r="I63">
            <v>0</v>
          </cell>
          <cell r="J63">
            <v>1509180.4900000002</v>
          </cell>
        </row>
        <row r="64">
          <cell r="E64">
            <v>46235</v>
          </cell>
          <cell r="F64">
            <v>1446362.6999999979</v>
          </cell>
          <cell r="G64">
            <v>0</v>
          </cell>
          <cell r="H64">
            <v>11333.33</v>
          </cell>
          <cell r="I64">
            <v>0</v>
          </cell>
          <cell r="J64">
            <v>1457696.0299999979</v>
          </cell>
        </row>
        <row r="65">
          <cell r="E65">
            <v>46266</v>
          </cell>
          <cell r="F65">
            <v>0</v>
          </cell>
          <cell r="G65">
            <v>392909.62000000005</v>
          </cell>
          <cell r="H65">
            <v>143976.28999999998</v>
          </cell>
          <cell r="I65">
            <v>13962.84</v>
          </cell>
          <cell r="J65">
            <v>550848.75000000035</v>
          </cell>
        </row>
        <row r="66">
          <cell r="E66">
            <v>46296</v>
          </cell>
          <cell r="F66">
            <v>0</v>
          </cell>
          <cell r="G66">
            <v>37302.500000000007</v>
          </cell>
          <cell r="H66">
            <v>201573.16</v>
          </cell>
          <cell r="I66">
            <v>12533.44</v>
          </cell>
          <cell r="J66">
            <v>251409.09999999974</v>
          </cell>
        </row>
        <row r="67">
          <cell r="E67">
            <v>46327</v>
          </cell>
          <cell r="F67">
            <v>0</v>
          </cell>
          <cell r="G67">
            <v>18896.22</v>
          </cell>
          <cell r="H67">
            <v>462662.68000000011</v>
          </cell>
          <cell r="I67">
            <v>45025.200000000019</v>
          </cell>
          <cell r="J67">
            <v>526584.09999999986</v>
          </cell>
        </row>
        <row r="68">
          <cell r="E68">
            <v>46357</v>
          </cell>
          <cell r="F68">
            <v>0</v>
          </cell>
          <cell r="G68">
            <v>55761.840000000004</v>
          </cell>
          <cell r="H68">
            <v>50192.45</v>
          </cell>
          <cell r="I68">
            <v>7314.9399999999978</v>
          </cell>
          <cell r="J68">
            <v>113269.22999999998</v>
          </cell>
        </row>
        <row r="69">
          <cell r="E69">
            <v>46388</v>
          </cell>
          <cell r="F69">
            <v>0</v>
          </cell>
          <cell r="G69">
            <v>287576</v>
          </cell>
          <cell r="H69">
            <v>105433.04000000001</v>
          </cell>
          <cell r="I69">
            <v>0</v>
          </cell>
          <cell r="J69">
            <v>393009.04</v>
          </cell>
        </row>
        <row r="70">
          <cell r="E70">
            <v>46419</v>
          </cell>
          <cell r="F70">
            <v>0</v>
          </cell>
          <cell r="G70">
            <v>1226</v>
          </cell>
          <cell r="H70">
            <v>100509.37999999999</v>
          </cell>
          <cell r="I70">
            <v>0</v>
          </cell>
          <cell r="J70">
            <v>101735.37999999999</v>
          </cell>
        </row>
        <row r="71">
          <cell r="E71">
            <v>46447</v>
          </cell>
          <cell r="F71">
            <v>0</v>
          </cell>
          <cell r="G71">
            <v>1226</v>
          </cell>
          <cell r="H71">
            <v>188686.06999999995</v>
          </cell>
          <cell r="I71">
            <v>0</v>
          </cell>
          <cell r="J71">
            <v>189912.06999999995</v>
          </cell>
        </row>
        <row r="72">
          <cell r="E72">
            <v>46478</v>
          </cell>
          <cell r="F72">
            <v>0</v>
          </cell>
          <cell r="G72">
            <v>1226</v>
          </cell>
          <cell r="H72">
            <v>17596.689999999999</v>
          </cell>
          <cell r="I72">
            <v>0</v>
          </cell>
          <cell r="J72">
            <v>18822.689999999999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P76"/>
  <sheetViews>
    <sheetView tabSelected="1" topLeftCell="U1" zoomScale="70" zoomScaleNormal="70" workbookViewId="0">
      <selection activeCell="AD14" sqref="AD14"/>
    </sheetView>
  </sheetViews>
  <sheetFormatPr defaultRowHeight="14.4" x14ac:dyDescent="0.3"/>
  <cols>
    <col min="1" max="1" width="17.77734375" bestFit="1" customWidth="1"/>
    <col min="2" max="2" width="56.77734375" customWidth="1"/>
    <col min="3" max="4" width="17.109375" bestFit="1" customWidth="1"/>
    <col min="5" max="5" width="16.109375" bestFit="1" customWidth="1"/>
    <col min="6" max="6" width="20" bestFit="1" customWidth="1"/>
    <col min="7" max="7" width="15" bestFit="1" customWidth="1"/>
    <col min="8" max="9" width="17.109375" bestFit="1" customWidth="1"/>
    <col min="10" max="10" width="18.21875" bestFit="1" customWidth="1"/>
    <col min="11" max="11" width="19.44140625" bestFit="1" customWidth="1"/>
    <col min="12" max="12" width="18.21875" bestFit="1" customWidth="1"/>
    <col min="13" max="13" width="18.5546875" customWidth="1"/>
    <col min="14" max="14" width="17.77734375" bestFit="1" customWidth="1"/>
    <col min="15" max="15" width="16.109375" bestFit="1" customWidth="1"/>
    <col min="16" max="16" width="28" bestFit="1" customWidth="1"/>
    <col min="17" max="17" width="15.21875" bestFit="1" customWidth="1"/>
    <col min="18" max="18" width="22.88671875" bestFit="1" customWidth="1"/>
    <col min="19" max="19" width="15" customWidth="1"/>
    <col min="21" max="21" width="11.5546875" bestFit="1" customWidth="1"/>
    <col min="22" max="22" width="15" bestFit="1" customWidth="1"/>
    <col min="24" max="24" width="15.6640625" bestFit="1" customWidth="1"/>
    <col min="25" max="25" width="16.6640625" bestFit="1" customWidth="1"/>
    <col min="26" max="26" width="18.88671875" bestFit="1" customWidth="1"/>
    <col min="28" max="28" width="14" bestFit="1" customWidth="1"/>
    <col min="29" max="29" width="15.77734375" bestFit="1" customWidth="1"/>
    <col min="30" max="31" width="21.77734375" bestFit="1" customWidth="1"/>
    <col min="33" max="33" width="13.33203125" bestFit="1" customWidth="1"/>
    <col min="34" max="34" width="12.5546875" bestFit="1" customWidth="1"/>
    <col min="35" max="35" width="47.21875" bestFit="1" customWidth="1"/>
    <col min="36" max="36" width="18" customWidth="1"/>
    <col min="37" max="37" width="16.33203125" customWidth="1"/>
    <col min="38" max="38" width="13.77734375" bestFit="1" customWidth="1"/>
    <col min="39" max="39" width="17.5546875" bestFit="1" customWidth="1"/>
    <col min="40" max="40" width="19.6640625" bestFit="1" customWidth="1"/>
    <col min="41" max="42" width="1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</v>
      </c>
      <c r="K1" s="1" t="s">
        <v>4</v>
      </c>
      <c r="L1" s="1"/>
      <c r="M1" s="1" t="str">
        <f>[1]RESUMO!E10</f>
        <v>Rótulos de Linha</v>
      </c>
      <c r="N1" s="1" t="str">
        <f>[1]RESUMO!F10</f>
        <v xml:space="preserve">TOTAL PAGO </v>
      </c>
      <c r="O1" s="1" t="str">
        <f>[1]RESUMO!G10</f>
        <v xml:space="preserve">TOTAL A PAGAR </v>
      </c>
      <c r="P1" s="1" t="str">
        <f>[1]RESUMO!H10</f>
        <v xml:space="preserve">TOTAL SALDO DE CONTRATOS </v>
      </c>
      <c r="Q1" s="1" t="str">
        <f>[1]RESUMO!I10</f>
        <v xml:space="preserve">TOTAL PEDIDOS </v>
      </c>
      <c r="R1" s="1" t="str">
        <f>[1]RESUMO!J10</f>
        <v>TOTAL COMPROMETIDO</v>
      </c>
      <c r="U1" t="s">
        <v>53</v>
      </c>
      <c r="V1" t="s">
        <v>81</v>
      </c>
      <c r="X1" t="s">
        <v>54</v>
      </c>
      <c r="Y1" t="s">
        <v>79</v>
      </c>
      <c r="Z1" t="s">
        <v>80</v>
      </c>
      <c r="AA1" s="2"/>
      <c r="AB1" t="s">
        <v>85</v>
      </c>
      <c r="AC1" t="s">
        <v>82</v>
      </c>
      <c r="AD1" t="s">
        <v>83</v>
      </c>
      <c r="AE1" t="s">
        <v>84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/>
      <c r="AM1" s="1" t="s">
        <v>92</v>
      </c>
      <c r="AN1" s="1" t="s">
        <v>93</v>
      </c>
    </row>
    <row r="2" spans="1:42" x14ac:dyDescent="0.3">
      <c r="A2" t="s">
        <v>46</v>
      </c>
      <c r="B2" t="s">
        <v>5</v>
      </c>
      <c r="C2" s="2">
        <v>891749.49</v>
      </c>
      <c r="D2" s="2">
        <f>VLOOKUP($C2,'[1]MCC - OBRA'!$L$6:$V$918,3,0)</f>
        <v>531321.84000000008</v>
      </c>
      <c r="E2" s="2">
        <f>VLOOKUP($C2,'[1]MCC - OBRA'!$L$6:$V$918,4,0)</f>
        <v>1350</v>
      </c>
      <c r="F2" s="2">
        <f>VLOOKUP($C2,'[1]MCC - OBRA'!$L$6:$V$918,5,0)</f>
        <v>10085.9</v>
      </c>
      <c r="G2" s="2">
        <f>VLOOKUP($C2,'[1]MCC - OBRA'!$L$6:$V$918,6,0)</f>
        <v>0</v>
      </c>
      <c r="H2" s="2">
        <f>VLOOKUP($C2,'[1]MCC - OBRA'!$L$6:$V$918,7,0)</f>
        <v>542757.74000000011</v>
      </c>
      <c r="I2" s="2">
        <f>VLOOKUP($C2,'[1]MCC - OBRA'!$L$6:$V$918,9,0)</f>
        <v>198865.07000000004</v>
      </c>
      <c r="J2" s="2">
        <f>VLOOKUP($C2,'[1]MCC - OBRA'!$L$6:$V$918,10,0)</f>
        <v>741622.81000000017</v>
      </c>
      <c r="K2" s="2">
        <f>VLOOKUP($C2,'[1]MCC - OBRA'!$L$6:$V$918,11,0)</f>
        <v>150126.67999999982</v>
      </c>
      <c r="L2" s="2"/>
      <c r="M2" s="5">
        <f>[1]RESUMO!E11</f>
        <v>44621</v>
      </c>
      <c r="N2" s="2">
        <f>[1]RESUMO!F11</f>
        <v>9385</v>
      </c>
      <c r="O2" s="2">
        <f>[1]RESUMO!G11</f>
        <v>0</v>
      </c>
      <c r="P2" s="2">
        <f>[1]RESUMO!H11</f>
        <v>0</v>
      </c>
      <c r="Q2" s="2">
        <f>[1]RESUMO!I11</f>
        <v>0</v>
      </c>
      <c r="R2" s="2">
        <f>[1]RESUMO!J11</f>
        <v>9385</v>
      </c>
      <c r="U2" s="4">
        <v>45809</v>
      </c>
      <c r="V2" s="2">
        <v>355604.63</v>
      </c>
      <c r="X2" s="4">
        <v>45505</v>
      </c>
      <c r="Y2" s="2">
        <v>2540022.0699999998</v>
      </c>
      <c r="Z2" s="2">
        <f>Y2</f>
        <v>2540022.0699999998</v>
      </c>
      <c r="AB2" s="4">
        <v>45809</v>
      </c>
      <c r="AC2" s="2">
        <v>271338.71000000002</v>
      </c>
      <c r="AD2" s="2">
        <v>118263.57</v>
      </c>
      <c r="AE2" s="2">
        <v>140333.43000000002</v>
      </c>
      <c r="AG2" s="4">
        <v>45840</v>
      </c>
      <c r="AH2" s="8">
        <v>1</v>
      </c>
      <c r="AI2" t="s">
        <v>89</v>
      </c>
      <c r="AJ2" s="6">
        <v>140844.79999999999</v>
      </c>
      <c r="AK2" s="6">
        <v>155050.33000000002</v>
      </c>
      <c r="AL2" s="2"/>
      <c r="AM2" s="7">
        <v>45261</v>
      </c>
      <c r="AN2" s="2">
        <v>67632.509999999995</v>
      </c>
      <c r="AO2" s="3"/>
      <c r="AP2" s="3"/>
    </row>
    <row r="3" spans="1:42" x14ac:dyDescent="0.3">
      <c r="A3" t="s">
        <v>47</v>
      </c>
      <c r="B3" t="s">
        <v>14</v>
      </c>
      <c r="C3" s="2">
        <v>1150847.8699999999</v>
      </c>
      <c r="D3" s="2">
        <f>VLOOKUP($C3,'[1]MCC - OBRA'!$L$6:$V$918,3,0)</f>
        <v>901606.7300000001</v>
      </c>
      <c r="E3" s="2">
        <f>VLOOKUP($C3,'[1]MCC - OBRA'!$L$6:$V$918,4,0)</f>
        <v>96522.340000000011</v>
      </c>
      <c r="F3" s="2">
        <f>VLOOKUP($C3,'[1]MCC - OBRA'!$L$6:$V$918,5,0)</f>
        <v>136235.72</v>
      </c>
      <c r="G3" s="2">
        <f>VLOOKUP($C3,'[1]MCC - OBRA'!$L$6:$V$918,6,0)</f>
        <v>36692.490000000005</v>
      </c>
      <c r="H3" s="2">
        <f>VLOOKUP($C3,'[1]MCC - OBRA'!$L$6:$V$918,7,0)</f>
        <v>1171057.28</v>
      </c>
      <c r="I3" s="2">
        <f>VLOOKUP($C3,'[1]MCC - OBRA'!$L$6:$V$918,9,0)</f>
        <v>187540.56</v>
      </c>
      <c r="J3" s="2">
        <f>VLOOKUP($C3,'[1]MCC - OBRA'!$L$6:$V$918,10,0)</f>
        <v>1358597.84</v>
      </c>
      <c r="K3" s="2">
        <f>VLOOKUP($C3,'[1]MCC - OBRA'!$L$6:$V$918,11,0)</f>
        <v>-207749.9700000002</v>
      </c>
      <c r="L3" s="2"/>
      <c r="M3" s="5">
        <f>[1]RESUMO!E12</f>
        <v>44652</v>
      </c>
      <c r="N3" s="2">
        <f>[1]RESUMO!F12</f>
        <v>788.22</v>
      </c>
      <c r="O3" s="2">
        <f>[1]RESUMO!G12</f>
        <v>0</v>
      </c>
      <c r="P3" s="2">
        <f>[1]RESUMO!H12</f>
        <v>0</v>
      </c>
      <c r="Q3" s="2">
        <f>[1]RESUMO!I12</f>
        <v>0</v>
      </c>
      <c r="R3" s="2">
        <f>[1]RESUMO!J12</f>
        <v>788.22</v>
      </c>
      <c r="U3" s="4">
        <v>45839</v>
      </c>
      <c r="V3" s="2">
        <v>347403.21</v>
      </c>
      <c r="X3" s="4">
        <v>45536</v>
      </c>
      <c r="Y3" s="2">
        <v>374541.15</v>
      </c>
      <c r="Z3" s="2">
        <f>Y3+Z2</f>
        <v>2914563.2199999997</v>
      </c>
      <c r="AB3" s="4">
        <v>45839</v>
      </c>
      <c r="AC3" s="2">
        <v>426466.85999999905</v>
      </c>
      <c r="AD3" s="2">
        <v>119406.47000000003</v>
      </c>
      <c r="AE3" s="2">
        <v>150506.68999999992</v>
      </c>
      <c r="AG3" s="4">
        <v>45840</v>
      </c>
      <c r="AH3" s="8">
        <v>1</v>
      </c>
      <c r="AI3" t="s">
        <v>91</v>
      </c>
      <c r="AJ3" s="6">
        <v>175566.18999999997</v>
      </c>
      <c r="AK3" s="6">
        <v>164415.90000000002</v>
      </c>
      <c r="AL3" s="2"/>
      <c r="AM3" s="7">
        <v>45292</v>
      </c>
      <c r="AN3" s="2">
        <v>74728.149999999994</v>
      </c>
      <c r="AO3" s="3"/>
      <c r="AP3" s="3"/>
    </row>
    <row r="4" spans="1:42" x14ac:dyDescent="0.3">
      <c r="A4" t="s">
        <v>48</v>
      </c>
      <c r="B4" t="s">
        <v>6</v>
      </c>
      <c r="C4" s="2">
        <v>541800</v>
      </c>
      <c r="D4" s="2">
        <f>VLOOKUP($C4,'[1]MCC - OBRA'!$L$6:$V$918,3,0)</f>
        <v>458680.4800000001</v>
      </c>
      <c r="E4" s="2">
        <f>VLOOKUP($C4,'[1]MCC - OBRA'!$L$6:$V$918,4,0)</f>
        <v>9336.2000000000007</v>
      </c>
      <c r="F4" s="2">
        <f>VLOOKUP($C4,'[1]MCC - OBRA'!$L$6:$V$918,5,0)</f>
        <v>57455.7</v>
      </c>
      <c r="G4" s="2">
        <f>VLOOKUP($C4,'[1]MCC - OBRA'!$L$6:$V$918,6,0)</f>
        <v>270.5</v>
      </c>
      <c r="H4" s="2">
        <f>VLOOKUP($C4,'[1]MCC - OBRA'!$L$6:$V$918,7,0)</f>
        <v>525742.88000000012</v>
      </c>
      <c r="I4" s="2">
        <f>VLOOKUP($C4,'[1]MCC - OBRA'!$L$6:$V$918,9,0)</f>
        <v>82970.019999999975</v>
      </c>
      <c r="J4" s="2">
        <f>VLOOKUP($C4,'[1]MCC - OBRA'!$L$6:$V$918,10,0)</f>
        <v>608712.90000000014</v>
      </c>
      <c r="K4" s="2">
        <f>VLOOKUP($C4,'[1]MCC - OBRA'!$L$6:$V$918,11,0)</f>
        <v>-66912.90000000014</v>
      </c>
      <c r="L4" s="2"/>
      <c r="M4" s="5">
        <f>[1]RESUMO!E13</f>
        <v>44682</v>
      </c>
      <c r="N4" s="2">
        <f>[1]RESUMO!F13</f>
        <v>48912.340000000004</v>
      </c>
      <c r="O4" s="2">
        <f>[1]RESUMO!G13</f>
        <v>0</v>
      </c>
      <c r="P4" s="2">
        <f>[1]RESUMO!H13</f>
        <v>0</v>
      </c>
      <c r="Q4" s="2">
        <f>[1]RESUMO!I13</f>
        <v>0</v>
      </c>
      <c r="R4" s="2">
        <f>[1]RESUMO!J13</f>
        <v>48912.340000000004</v>
      </c>
      <c r="U4" s="4">
        <v>45870</v>
      </c>
      <c r="V4" s="2">
        <v>363944.43</v>
      </c>
      <c r="X4" s="4">
        <v>45566</v>
      </c>
      <c r="Y4" s="2">
        <v>635664.92000000004</v>
      </c>
      <c r="Z4" s="2">
        <f t="shared" ref="Z4:Z20" si="0">Y4+Z3</f>
        <v>3550228.1399999997</v>
      </c>
      <c r="AB4" s="4">
        <v>45870</v>
      </c>
      <c r="AC4" s="2">
        <v>589799.9700000002</v>
      </c>
      <c r="AD4" s="2">
        <v>163985.69999999998</v>
      </c>
      <c r="AE4" s="2">
        <v>153116.83000000002</v>
      </c>
      <c r="AG4" s="4">
        <v>45840</v>
      </c>
      <c r="AH4" s="8">
        <v>0.5</v>
      </c>
      <c r="AI4" t="s">
        <v>90</v>
      </c>
      <c r="AJ4" s="6">
        <v>194298.03</v>
      </c>
      <c r="AK4" s="6">
        <v>126113.12</v>
      </c>
      <c r="AL4" s="2"/>
      <c r="AM4" s="7">
        <v>45323</v>
      </c>
      <c r="AN4" s="2">
        <v>117793.8</v>
      </c>
      <c r="AO4" s="3"/>
      <c r="AP4" s="3"/>
    </row>
    <row r="5" spans="1:42" x14ac:dyDescent="0.3">
      <c r="A5" t="s">
        <v>49</v>
      </c>
      <c r="B5" t="s">
        <v>15</v>
      </c>
      <c r="C5" s="2">
        <v>261893.82</v>
      </c>
      <c r="D5" s="2">
        <f>VLOOKUP($C5,'[1]MCC - OBRA'!$L$6:$V$918,3,0)</f>
        <v>166807.29999999999</v>
      </c>
      <c r="E5" s="2">
        <f>VLOOKUP($C5,'[1]MCC - OBRA'!$L$6:$V$918,4,0)</f>
        <v>0</v>
      </c>
      <c r="F5" s="2">
        <f>VLOOKUP($C5,'[1]MCC - OBRA'!$L$6:$V$918,5,0)</f>
        <v>60024.62000000001</v>
      </c>
      <c r="G5" s="2">
        <f>VLOOKUP($C5,'[1]MCC - OBRA'!$L$6:$V$918,6,0)</f>
        <v>0</v>
      </c>
      <c r="H5" s="2">
        <f>VLOOKUP($C5,'[1]MCC - OBRA'!$L$6:$V$918,7,0)</f>
        <v>226831.91999999998</v>
      </c>
      <c r="I5" s="2">
        <f>VLOOKUP($C5,'[1]MCC - OBRA'!$L$6:$V$918,9,0)</f>
        <v>0</v>
      </c>
      <c r="J5" s="2">
        <f>VLOOKUP($C5,'[1]MCC - OBRA'!$L$6:$V$918,10,0)</f>
        <v>226831.91999999998</v>
      </c>
      <c r="K5" s="2">
        <f>VLOOKUP($C5,'[1]MCC - OBRA'!$L$6:$V$918,11,0)</f>
        <v>35061.900000000023</v>
      </c>
      <c r="L5" s="2"/>
      <c r="M5" s="5">
        <f>[1]RESUMO!E14</f>
        <v>44713</v>
      </c>
      <c r="N5" s="2">
        <f>[1]RESUMO!F14</f>
        <v>57197.459999999985</v>
      </c>
      <c r="O5" s="2">
        <f>[1]RESUMO!G14</f>
        <v>0</v>
      </c>
      <c r="P5" s="2">
        <f>[1]RESUMO!H14</f>
        <v>0</v>
      </c>
      <c r="Q5" s="2">
        <f>[1]RESUMO!I14</f>
        <v>0</v>
      </c>
      <c r="R5" s="2">
        <f>[1]RESUMO!J14</f>
        <v>57197.459999999985</v>
      </c>
      <c r="U5" s="4">
        <v>45901</v>
      </c>
      <c r="V5" s="2">
        <v>349356.44</v>
      </c>
      <c r="X5" s="4">
        <v>45597</v>
      </c>
      <c r="Y5" s="2">
        <v>516972.3</v>
      </c>
      <c r="Z5" s="2">
        <f t="shared" si="0"/>
        <v>4067200.4399999995</v>
      </c>
      <c r="AB5" s="4">
        <v>45901</v>
      </c>
      <c r="AC5" s="2">
        <v>670208.32999999938</v>
      </c>
      <c r="AD5" s="2">
        <v>107388.12999999998</v>
      </c>
      <c r="AE5" s="2">
        <v>197604.10000000006</v>
      </c>
      <c r="AG5" s="4">
        <v>45840</v>
      </c>
      <c r="AH5" s="8">
        <v>1</v>
      </c>
      <c r="AI5" t="s">
        <v>86</v>
      </c>
      <c r="AJ5" s="6">
        <v>25199.405999999999</v>
      </c>
      <c r="AK5" s="6">
        <v>12484.474166666667</v>
      </c>
      <c r="AL5" s="2"/>
      <c r="AM5" s="7">
        <v>45352</v>
      </c>
      <c r="AN5" s="2">
        <v>86889.77</v>
      </c>
      <c r="AO5" s="2"/>
      <c r="AP5" s="2"/>
    </row>
    <row r="6" spans="1:42" x14ac:dyDescent="0.3">
      <c r="A6" t="s">
        <v>50</v>
      </c>
      <c r="B6" t="s">
        <v>7</v>
      </c>
      <c r="C6" s="2">
        <v>921807.4</v>
      </c>
      <c r="D6" s="2">
        <f>VLOOKUP($C6,'[1]MCC - OBRA'!$L$6:$V$918,3,0)</f>
        <v>652166.56999999995</v>
      </c>
      <c r="E6" s="2">
        <f>VLOOKUP($C6,'[1]MCC - OBRA'!$L$6:$V$918,4,0)</f>
        <v>13173.1</v>
      </c>
      <c r="F6" s="2">
        <f>VLOOKUP($C6,'[1]MCC - OBRA'!$L$6:$V$918,5,0)</f>
        <v>128970.00000000001</v>
      </c>
      <c r="G6" s="2">
        <f>VLOOKUP($C6,'[1]MCC - OBRA'!$L$6:$V$918,6,0)</f>
        <v>2390.7600000000002</v>
      </c>
      <c r="H6" s="2">
        <f>VLOOKUP($C6,'[1]MCC - OBRA'!$L$6:$V$918,7,0)</f>
        <v>796700.42999999993</v>
      </c>
      <c r="I6" s="2">
        <f>VLOOKUP($C6,'[1]MCC - OBRA'!$L$6:$V$918,9,0)</f>
        <v>75366</v>
      </c>
      <c r="J6" s="2">
        <f>VLOOKUP($C6,'[1]MCC - OBRA'!$L$6:$V$918,10,0)</f>
        <v>872066.42999999993</v>
      </c>
      <c r="K6" s="2">
        <f>VLOOKUP($C6,'[1]MCC - OBRA'!$L$6:$V$918,11,0)</f>
        <v>49740.970000000088</v>
      </c>
      <c r="L6" s="2"/>
      <c r="M6" s="5">
        <f>[1]RESUMO!E15</f>
        <v>44743</v>
      </c>
      <c r="N6" s="2">
        <f>[1]RESUMO!F15</f>
        <v>9314.39</v>
      </c>
      <c r="O6" s="2">
        <f>[1]RESUMO!G15</f>
        <v>0</v>
      </c>
      <c r="P6" s="2">
        <f>[1]RESUMO!H15</f>
        <v>0</v>
      </c>
      <c r="Q6" s="2">
        <f>[1]RESUMO!I15</f>
        <v>0</v>
      </c>
      <c r="R6" s="2">
        <f>[1]RESUMO!J15</f>
        <v>9314.39</v>
      </c>
      <c r="U6" s="4">
        <v>45931</v>
      </c>
      <c r="V6" s="2">
        <v>303641.53000000003</v>
      </c>
      <c r="X6" s="4">
        <v>45627</v>
      </c>
      <c r="Y6" s="2">
        <v>398279.67999999999</v>
      </c>
      <c r="Z6" s="2">
        <f t="shared" si="0"/>
        <v>4465480.1199999992</v>
      </c>
      <c r="AB6" s="4">
        <v>45931</v>
      </c>
      <c r="AC6" s="2">
        <v>554847.6800000004</v>
      </c>
      <c r="AD6" s="2">
        <v>152263.29000000004</v>
      </c>
      <c r="AE6" s="2">
        <v>216266.19</v>
      </c>
      <c r="AG6" s="4">
        <v>45840</v>
      </c>
      <c r="AH6" s="8">
        <v>1</v>
      </c>
      <c r="AI6" t="s">
        <v>87</v>
      </c>
      <c r="AJ6" s="6">
        <v>18256.32</v>
      </c>
      <c r="AK6" s="6">
        <v>3044.53</v>
      </c>
      <c r="AL6" s="2"/>
      <c r="AM6" s="7">
        <v>45383</v>
      </c>
      <c r="AN6" s="2">
        <v>446867.29</v>
      </c>
      <c r="AO6" s="3"/>
      <c r="AP6" s="3"/>
    </row>
    <row r="7" spans="1:42" x14ac:dyDescent="0.3">
      <c r="A7" t="s">
        <v>55</v>
      </c>
      <c r="B7" t="s">
        <v>16</v>
      </c>
      <c r="C7" s="2">
        <v>1142748.06</v>
      </c>
      <c r="D7" s="2">
        <f>VLOOKUP($C7,'[1]MCC - OBRA'!$L$6:$V$918,3,0)</f>
        <v>768178.99000000022</v>
      </c>
      <c r="E7" s="2">
        <f>VLOOKUP($C7,'[1]MCC - OBRA'!$L$6:$V$918,4,0)</f>
        <v>11913.74</v>
      </c>
      <c r="F7" s="2">
        <f>VLOOKUP($C7,'[1]MCC - OBRA'!$L$6:$V$918,5,0)</f>
        <v>152834.26999999999</v>
      </c>
      <c r="G7" s="2">
        <f>VLOOKUP($C7,'[1]MCC - OBRA'!$L$6:$V$918,6,0)</f>
        <v>11490.25</v>
      </c>
      <c r="H7" s="2">
        <f>VLOOKUP($C7,'[1]MCC - OBRA'!$L$6:$V$918,7,0)</f>
        <v>944417.25000000023</v>
      </c>
      <c r="I7" s="2">
        <f>VLOOKUP($C7,'[1]MCC - OBRA'!$L$6:$V$918,9,0)</f>
        <v>357848.0199999999</v>
      </c>
      <c r="J7" s="2">
        <f>VLOOKUP($C7,'[1]MCC - OBRA'!$L$6:$V$918,10,0)</f>
        <v>1302265.27</v>
      </c>
      <c r="K7" s="2">
        <f>VLOOKUP($C7,'[1]MCC - OBRA'!$L$6:$V$918,11,0)</f>
        <v>-159517.20999999996</v>
      </c>
      <c r="L7" s="2"/>
      <c r="M7" s="5">
        <f>[1]RESUMO!E16</f>
        <v>44774</v>
      </c>
      <c r="N7" s="2">
        <f>[1]RESUMO!F16</f>
        <v>4135.38</v>
      </c>
      <c r="O7" s="2">
        <f>[1]RESUMO!G16</f>
        <v>0</v>
      </c>
      <c r="P7" s="2">
        <f>[1]RESUMO!H16</f>
        <v>0</v>
      </c>
      <c r="Q7" s="2">
        <f>[1]RESUMO!I16</f>
        <v>0</v>
      </c>
      <c r="R7" s="2">
        <f>[1]RESUMO!J16</f>
        <v>4135.38</v>
      </c>
      <c r="U7" s="4">
        <v>45962</v>
      </c>
      <c r="V7" s="2">
        <v>634717.06999999995</v>
      </c>
      <c r="X7" s="4">
        <v>45658</v>
      </c>
      <c r="Y7" s="2">
        <v>58027.49</v>
      </c>
      <c r="Z7" s="2">
        <f t="shared" si="0"/>
        <v>4523507.6099999994</v>
      </c>
      <c r="AB7" s="4">
        <v>45962</v>
      </c>
      <c r="AC7" s="2">
        <f>683811.759999999-135000</f>
        <v>548811.75999999896</v>
      </c>
      <c r="AD7" s="2">
        <v>138479.36000000007</v>
      </c>
      <c r="AE7" s="2">
        <v>207207.24999999997</v>
      </c>
      <c r="AG7" s="4">
        <v>45840</v>
      </c>
      <c r="AH7" s="8">
        <v>1</v>
      </c>
      <c r="AI7" t="s">
        <v>88</v>
      </c>
      <c r="AJ7" s="6">
        <v>18256.32</v>
      </c>
      <c r="AK7" s="6">
        <v>7449.3300000000008</v>
      </c>
      <c r="AL7" s="2"/>
      <c r="AM7" s="7">
        <v>45413</v>
      </c>
      <c r="AN7" s="2">
        <v>391666.01</v>
      </c>
      <c r="AO7" s="3"/>
      <c r="AP7" s="3"/>
    </row>
    <row r="8" spans="1:42" x14ac:dyDescent="0.3">
      <c r="A8" t="s">
        <v>56</v>
      </c>
      <c r="B8" t="s">
        <v>8</v>
      </c>
      <c r="C8" s="2">
        <v>86500</v>
      </c>
      <c r="D8" s="2">
        <f>VLOOKUP($C8,'[1]MCC - OBRA'!$L$6:$V$918,3,0)</f>
        <v>105037.17</v>
      </c>
      <c r="E8" s="2">
        <f>VLOOKUP($C8,'[1]MCC - OBRA'!$L$6:$V$918,4,0)</f>
        <v>0</v>
      </c>
      <c r="F8" s="2">
        <f>VLOOKUP($C8,'[1]MCC - OBRA'!$L$6:$V$918,5,0)</f>
        <v>25650</v>
      </c>
      <c r="G8" s="2">
        <f>VLOOKUP($C8,'[1]MCC - OBRA'!$L$6:$V$918,6,0)</f>
        <v>0</v>
      </c>
      <c r="H8" s="2">
        <f>VLOOKUP($C8,'[1]MCC - OBRA'!$L$6:$V$918,7,0)</f>
        <v>130687.17</v>
      </c>
      <c r="I8" s="2">
        <f>VLOOKUP($C8,'[1]MCC - OBRA'!$L$6:$V$918,9,0)</f>
        <v>18859.86</v>
      </c>
      <c r="J8" s="2">
        <f>VLOOKUP($C8,'[1]MCC - OBRA'!$L$6:$V$918,10,0)</f>
        <v>149547.03</v>
      </c>
      <c r="K8" s="2">
        <f>VLOOKUP($C8,'[1]MCC - OBRA'!$L$6:$V$918,11,0)</f>
        <v>-63047.03</v>
      </c>
      <c r="L8" s="2"/>
      <c r="M8" s="5">
        <f>[1]RESUMO!E17</f>
        <v>44805</v>
      </c>
      <c r="N8" s="2">
        <f>[1]RESUMO!F17</f>
        <v>18278.54</v>
      </c>
      <c r="O8" s="2">
        <f>[1]RESUMO!G17</f>
        <v>0</v>
      </c>
      <c r="P8" s="2">
        <f>[1]RESUMO!H17</f>
        <v>0</v>
      </c>
      <c r="Q8" s="2">
        <f>[1]RESUMO!I17</f>
        <v>0</v>
      </c>
      <c r="R8" s="2">
        <f>[1]RESUMO!J17</f>
        <v>18278.54</v>
      </c>
      <c r="U8" s="4">
        <v>45992</v>
      </c>
      <c r="V8" s="2">
        <v>492340.35</v>
      </c>
      <c r="X8" s="4">
        <v>45689</v>
      </c>
      <c r="Y8" s="2">
        <v>242660.47</v>
      </c>
      <c r="Z8" s="2">
        <f t="shared" si="0"/>
        <v>4766168.0799999991</v>
      </c>
      <c r="AB8" s="4">
        <v>45992</v>
      </c>
      <c r="AC8" s="2">
        <f>758527.910000002-150000</f>
        <v>608527.91000000201</v>
      </c>
      <c r="AD8" s="2">
        <v>206335.37999999998</v>
      </c>
      <c r="AE8" s="2">
        <v>236819.28000000012</v>
      </c>
      <c r="AG8" s="4">
        <v>45871</v>
      </c>
      <c r="AH8" s="8">
        <v>1</v>
      </c>
      <c r="AI8" t="s">
        <v>86</v>
      </c>
      <c r="AJ8" s="6">
        <v>25199.405999999999</v>
      </c>
      <c r="AK8" s="6">
        <v>12484.474166666667</v>
      </c>
      <c r="AL8" s="2"/>
      <c r="AM8" s="7">
        <v>45444</v>
      </c>
      <c r="AN8" s="2">
        <v>62216.05</v>
      </c>
    </row>
    <row r="9" spans="1:42" x14ac:dyDescent="0.3">
      <c r="A9" t="s">
        <v>57</v>
      </c>
      <c r="B9" t="s">
        <v>17</v>
      </c>
      <c r="C9" s="2">
        <v>532432.98</v>
      </c>
      <c r="D9" s="2">
        <f>VLOOKUP($C9,'[1]MCC - OBRA'!$L$6:$V$918,3,0)</f>
        <v>137717.29999999999</v>
      </c>
      <c r="E9" s="2">
        <f>VLOOKUP($C9,'[1]MCC - OBRA'!$L$6:$V$918,4,0)</f>
        <v>34510</v>
      </c>
      <c r="F9" s="2">
        <f>VLOOKUP($C9,'[1]MCC - OBRA'!$L$6:$V$918,5,0)</f>
        <v>160631.90000000002</v>
      </c>
      <c r="G9" s="2">
        <f>VLOOKUP($C9,'[1]MCC - OBRA'!$L$6:$V$918,6,0)</f>
        <v>3972.86</v>
      </c>
      <c r="H9" s="2">
        <f>VLOOKUP($C9,'[1]MCC - OBRA'!$L$6:$V$918,7,0)</f>
        <v>336832.06</v>
      </c>
      <c r="I9" s="2">
        <f>VLOOKUP($C9,'[1]MCC - OBRA'!$L$6:$V$918,9,0)</f>
        <v>238753.96000000002</v>
      </c>
      <c r="J9" s="2">
        <f>VLOOKUP($C9,'[1]MCC - OBRA'!$L$6:$V$918,10,0)</f>
        <v>575586.02</v>
      </c>
      <c r="K9" s="2">
        <f>VLOOKUP($C9,'[1]MCC - OBRA'!$L$6:$V$918,11,0)</f>
        <v>-43153.040000000037</v>
      </c>
      <c r="L9" s="2"/>
      <c r="M9" s="5">
        <f>[1]RESUMO!E18</f>
        <v>44835</v>
      </c>
      <c r="N9" s="2">
        <f>[1]RESUMO!F18</f>
        <v>36490.550000000003</v>
      </c>
      <c r="O9" s="2">
        <f>[1]RESUMO!G18</f>
        <v>0</v>
      </c>
      <c r="P9" s="2">
        <f>[1]RESUMO!H18</f>
        <v>0</v>
      </c>
      <c r="Q9" s="2">
        <f>[1]RESUMO!I18</f>
        <v>0</v>
      </c>
      <c r="R9" s="2">
        <f>[1]RESUMO!J18</f>
        <v>36490.550000000003</v>
      </c>
      <c r="U9" s="4">
        <v>46023</v>
      </c>
      <c r="V9" s="2">
        <v>494610.05</v>
      </c>
      <c r="X9" s="4">
        <v>45717</v>
      </c>
      <c r="Y9" s="2">
        <v>379816.38</v>
      </c>
      <c r="Z9" s="2">
        <f t="shared" si="0"/>
        <v>5145984.459999999</v>
      </c>
      <c r="AB9" s="4">
        <v>46023</v>
      </c>
      <c r="AC9" s="2">
        <f>476876.81-84250-48250</f>
        <v>344376.81</v>
      </c>
      <c r="AD9" s="2">
        <v>130966.09000000003</v>
      </c>
      <c r="AE9" s="2">
        <v>255506.61000000013</v>
      </c>
      <c r="AG9" s="4">
        <v>45871</v>
      </c>
      <c r="AH9" s="8">
        <v>1</v>
      </c>
      <c r="AI9" t="s">
        <v>99</v>
      </c>
      <c r="AJ9" s="6">
        <v>18256.32</v>
      </c>
      <c r="AK9" s="6">
        <v>12026.06</v>
      </c>
      <c r="AL9" s="2"/>
      <c r="AM9" s="7">
        <v>45474</v>
      </c>
      <c r="AN9" s="2">
        <v>80429.09</v>
      </c>
    </row>
    <row r="10" spans="1:42" x14ac:dyDescent="0.3">
      <c r="A10" t="s">
        <v>58</v>
      </c>
      <c r="B10" t="s">
        <v>9</v>
      </c>
      <c r="C10" s="2">
        <v>2768891.01</v>
      </c>
      <c r="D10" s="2">
        <f>VLOOKUP($C10,'[1]MCC - OBRA'!$L$6:$V$918,3,0)</f>
        <v>1962204.1000000003</v>
      </c>
      <c r="E10" s="2">
        <f>VLOOKUP($C10,'[1]MCC - OBRA'!$L$6:$V$918,4,0)</f>
        <v>58536.83</v>
      </c>
      <c r="F10" s="2">
        <f>VLOOKUP($C10,'[1]MCC - OBRA'!$L$6:$V$918,5,0)</f>
        <v>97879.580000000016</v>
      </c>
      <c r="G10" s="2">
        <f>VLOOKUP($C10,'[1]MCC - OBRA'!$L$6:$V$918,6,0)</f>
        <v>0</v>
      </c>
      <c r="H10" s="2">
        <f>VLOOKUP($C10,'[1]MCC - OBRA'!$L$6:$V$918,7,0)</f>
        <v>2118620.5100000002</v>
      </c>
      <c r="I10" s="2">
        <f>VLOOKUP($C10,'[1]MCC - OBRA'!$L$6:$V$918,9,0)</f>
        <v>491626.20999999967</v>
      </c>
      <c r="J10" s="2">
        <f>VLOOKUP($C10,'[1]MCC - OBRA'!$L$6:$V$918,10,0)</f>
        <v>2610246.7199999997</v>
      </c>
      <c r="K10" s="2">
        <f>VLOOKUP($C10,'[1]MCC - OBRA'!$L$6:$V$918,11,0)</f>
        <v>158644.29000000004</v>
      </c>
      <c r="L10" s="2"/>
      <c r="M10" s="5">
        <f>[1]RESUMO!E19</f>
        <v>44866</v>
      </c>
      <c r="N10" s="2">
        <f>[1]RESUMO!F19</f>
        <v>16437.04</v>
      </c>
      <c r="O10" s="2">
        <f>[1]RESUMO!G19</f>
        <v>0</v>
      </c>
      <c r="P10" s="2">
        <f>[1]RESUMO!H19</f>
        <v>0</v>
      </c>
      <c r="Q10" s="2">
        <f>[1]RESUMO!I19</f>
        <v>0</v>
      </c>
      <c r="R10" s="2">
        <f>[1]RESUMO!J19</f>
        <v>16437.04</v>
      </c>
      <c r="U10" s="4">
        <v>46054</v>
      </c>
      <c r="V10" s="2">
        <v>789272.88</v>
      </c>
      <c r="X10" s="4">
        <v>45748</v>
      </c>
      <c r="Y10" s="2">
        <v>356077.85</v>
      </c>
      <c r="Z10" s="2">
        <f t="shared" si="0"/>
        <v>5502062.3099999987</v>
      </c>
      <c r="AB10" s="4">
        <v>46054</v>
      </c>
      <c r="AC10" s="2">
        <f>539538.85-84250-48250</f>
        <v>407038.85</v>
      </c>
      <c r="AD10" s="2">
        <v>137835.39000000001</v>
      </c>
      <c r="AE10" s="2">
        <v>220029.72999999998</v>
      </c>
      <c r="AG10" s="4">
        <v>45871</v>
      </c>
      <c r="AH10" s="8">
        <v>0.5</v>
      </c>
      <c r="AI10" t="s">
        <v>90</v>
      </c>
      <c r="AJ10" s="6">
        <v>194298.03</v>
      </c>
      <c r="AK10" s="10">
        <v>190227.17</v>
      </c>
      <c r="AL10" s="2"/>
      <c r="AM10" s="7">
        <v>45505</v>
      </c>
      <c r="AN10" s="2">
        <v>72324.039999999994</v>
      </c>
    </row>
    <row r="11" spans="1:42" x14ac:dyDescent="0.3">
      <c r="A11" t="s">
        <v>59</v>
      </c>
      <c r="B11" t="s">
        <v>32</v>
      </c>
      <c r="C11" s="2">
        <v>73179.929999999993</v>
      </c>
      <c r="D11" s="2">
        <f>VLOOKUP($C11,'[1]MCC - OBRA'!$L$6:$V$918,3,0)</f>
        <v>0</v>
      </c>
      <c r="E11" s="2">
        <f>VLOOKUP($C11,'[1]MCC - OBRA'!$L$6:$V$918,4,0)</f>
        <v>0</v>
      </c>
      <c r="F11" s="2">
        <f>VLOOKUP($C11,'[1]MCC - OBRA'!$L$6:$V$918,5,0)</f>
        <v>0</v>
      </c>
      <c r="G11" s="2">
        <f>VLOOKUP($C11,'[1]MCC - OBRA'!$L$6:$V$918,6,0)</f>
        <v>0</v>
      </c>
      <c r="H11" s="2">
        <f>VLOOKUP($C11,'[1]MCC - OBRA'!$L$6:$V$918,7,0)</f>
        <v>0</v>
      </c>
      <c r="I11" s="2">
        <f>VLOOKUP($C11,'[1]MCC - OBRA'!$L$6:$V$918,9,0)</f>
        <v>73179.929999999993</v>
      </c>
      <c r="J11" s="2">
        <f>VLOOKUP($C11,'[1]MCC - OBRA'!$L$6:$V$918,10,0)</f>
        <v>73179.929999999993</v>
      </c>
      <c r="K11" s="2">
        <f>VLOOKUP($C11,'[1]MCC - OBRA'!$L$6:$V$918,11,0)</f>
        <v>0</v>
      </c>
      <c r="L11" s="2"/>
      <c r="M11" s="5">
        <f>[1]RESUMO!E20</f>
        <v>44896</v>
      </c>
      <c r="N11" s="2">
        <f>[1]RESUMO!F20</f>
        <v>45732</v>
      </c>
      <c r="O11" s="2">
        <f>[1]RESUMO!G20</f>
        <v>0</v>
      </c>
      <c r="P11" s="2">
        <f>[1]RESUMO!H20</f>
        <v>0</v>
      </c>
      <c r="Q11" s="2">
        <f>[1]RESUMO!I20</f>
        <v>0</v>
      </c>
      <c r="R11" s="2">
        <f>[1]RESUMO!J20</f>
        <v>45732</v>
      </c>
      <c r="U11" s="4">
        <v>46082</v>
      </c>
      <c r="V11" s="2">
        <v>704575.96</v>
      </c>
      <c r="X11" s="4">
        <v>45778</v>
      </c>
      <c r="Y11" s="2">
        <v>643577.76</v>
      </c>
      <c r="Z11" s="2">
        <f t="shared" si="0"/>
        <v>6145640.0699999984</v>
      </c>
      <c r="AB11" s="4">
        <v>46082</v>
      </c>
      <c r="AC11" s="2">
        <f>642428.029999999-84250-48250</f>
        <v>509928.02999999898</v>
      </c>
      <c r="AD11" s="2">
        <v>156666.22999999998</v>
      </c>
      <c r="AE11" s="2">
        <v>209656.16999999995</v>
      </c>
      <c r="AG11" s="4">
        <v>45871</v>
      </c>
      <c r="AH11" s="8">
        <v>1</v>
      </c>
      <c r="AI11" t="s">
        <v>100</v>
      </c>
      <c r="AJ11" s="6">
        <v>182127.79</v>
      </c>
      <c r="AK11" s="6">
        <v>181274.59</v>
      </c>
      <c r="AL11" s="2"/>
      <c r="AM11" s="7">
        <v>45536</v>
      </c>
      <c r="AN11" s="2">
        <v>64505.4</v>
      </c>
    </row>
    <row r="12" spans="1:42" x14ac:dyDescent="0.3">
      <c r="A12" t="s">
        <v>60</v>
      </c>
      <c r="B12" t="s">
        <v>18</v>
      </c>
      <c r="C12" s="2">
        <v>622914.20999999985</v>
      </c>
      <c r="D12" s="2">
        <f>VLOOKUP($C12,'[1]MCC - OBRA'!$L$6:$V$918,3,0)</f>
        <v>372223.73</v>
      </c>
      <c r="E12" s="2">
        <f>VLOOKUP($C12,'[1]MCC - OBRA'!$L$6:$V$918,4,0)</f>
        <v>9862.24</v>
      </c>
      <c r="F12" s="2">
        <f>VLOOKUP($C12,'[1]MCC - OBRA'!$L$6:$V$918,5,0)</f>
        <v>14396.32</v>
      </c>
      <c r="G12" s="2">
        <f>VLOOKUP($C12,'[1]MCC - OBRA'!$L$6:$V$918,6,0)</f>
        <v>0</v>
      </c>
      <c r="H12" s="2">
        <f>VLOOKUP($C12,'[1]MCC - OBRA'!$L$6:$V$918,7,0)</f>
        <v>396482.29</v>
      </c>
      <c r="I12" s="2">
        <f>VLOOKUP($C12,'[1]MCC - OBRA'!$L$6:$V$918,9,0)</f>
        <v>137067.35999999999</v>
      </c>
      <c r="J12" s="2">
        <f>VLOOKUP($C12,'[1]MCC - OBRA'!$L$6:$V$918,10,0)</f>
        <v>533549.64999999991</v>
      </c>
      <c r="K12" s="2">
        <f>VLOOKUP($C12,'[1]MCC - OBRA'!$L$6:$V$918,11,0)</f>
        <v>89364.559999999939</v>
      </c>
      <c r="L12" s="2"/>
      <c r="M12" s="5">
        <f>[1]RESUMO!E21</f>
        <v>44927</v>
      </c>
      <c r="N12" s="2">
        <f>[1]RESUMO!F21</f>
        <v>17932.21</v>
      </c>
      <c r="O12" s="2">
        <f>[1]RESUMO!G21</f>
        <v>0</v>
      </c>
      <c r="P12" s="2">
        <f>[1]RESUMO!H21</f>
        <v>0</v>
      </c>
      <c r="Q12" s="2">
        <f>[1]RESUMO!I21</f>
        <v>0</v>
      </c>
      <c r="R12" s="2">
        <f>[1]RESUMO!J21</f>
        <v>17932.21</v>
      </c>
      <c r="U12" s="4">
        <v>46113</v>
      </c>
      <c r="V12" s="2">
        <v>752894.52</v>
      </c>
      <c r="X12" s="4">
        <v>45809</v>
      </c>
      <c r="Y12" s="2">
        <v>585638.25</v>
      </c>
      <c r="Z12" s="2">
        <f t="shared" si="0"/>
        <v>6731278.3199999984</v>
      </c>
      <c r="AB12" s="4">
        <v>46113</v>
      </c>
      <c r="AC12" s="2">
        <f>486790.27-50000</f>
        <v>436790.27</v>
      </c>
      <c r="AD12" s="2">
        <v>146010.68</v>
      </c>
      <c r="AE12" s="2">
        <v>250488.25999999998</v>
      </c>
      <c r="AG12" s="4">
        <v>45871</v>
      </c>
      <c r="AH12" s="8">
        <v>0.5</v>
      </c>
      <c r="AI12" t="s">
        <v>101</v>
      </c>
      <c r="AJ12" s="6">
        <v>0</v>
      </c>
      <c r="AK12" s="6"/>
      <c r="AL12" s="2"/>
      <c r="AM12" s="7">
        <v>45566</v>
      </c>
      <c r="AN12" s="2">
        <v>91978.51</v>
      </c>
    </row>
    <row r="13" spans="1:42" x14ac:dyDescent="0.3">
      <c r="A13" t="s">
        <v>61</v>
      </c>
      <c r="B13" t="s">
        <v>19</v>
      </c>
      <c r="C13" s="2">
        <v>734722.6399999999</v>
      </c>
      <c r="D13" s="2">
        <f>VLOOKUP($C13,'[1]MCC - OBRA'!$L$6:$V$918,3,0)</f>
        <v>46720.409999999996</v>
      </c>
      <c r="E13" s="2">
        <f>VLOOKUP($C13,'[1]MCC - OBRA'!$L$6:$V$918,4,0)</f>
        <v>11040.96</v>
      </c>
      <c r="F13" s="2">
        <f>VLOOKUP($C13,'[1]MCC - OBRA'!$L$6:$V$918,5,0)</f>
        <v>0</v>
      </c>
      <c r="G13" s="2">
        <f>VLOOKUP($C13,'[1]MCC - OBRA'!$L$6:$V$918,6,0)</f>
        <v>0</v>
      </c>
      <c r="H13" s="2">
        <f>VLOOKUP($C13,'[1]MCC - OBRA'!$L$6:$V$918,7,0)</f>
        <v>57761.369999999995</v>
      </c>
      <c r="I13" s="2">
        <f>VLOOKUP($C13,'[1]MCC - OBRA'!$L$6:$V$918,9,0)</f>
        <v>302407.15999999997</v>
      </c>
      <c r="J13" s="2">
        <f>VLOOKUP($C13,'[1]MCC - OBRA'!$L$6:$V$918,10,0)</f>
        <v>360168.52999999997</v>
      </c>
      <c r="K13" s="2">
        <f>VLOOKUP($C13,'[1]MCC - OBRA'!$L$6:$V$918,11,0)</f>
        <v>374554.10999999993</v>
      </c>
      <c r="L13" s="2"/>
      <c r="M13" s="5">
        <f>[1]RESUMO!E22</f>
        <v>44958</v>
      </c>
      <c r="N13" s="2">
        <f>[1]RESUMO!F22</f>
        <v>53756.24</v>
      </c>
      <c r="O13" s="2">
        <f>[1]RESUMO!G22</f>
        <v>0</v>
      </c>
      <c r="P13" s="2">
        <f>[1]RESUMO!H22</f>
        <v>0</v>
      </c>
      <c r="Q13" s="2">
        <f>[1]RESUMO!I22</f>
        <v>0</v>
      </c>
      <c r="R13" s="2">
        <f>[1]RESUMO!J22</f>
        <v>53756.24</v>
      </c>
      <c r="U13" s="4">
        <v>46143</v>
      </c>
      <c r="V13" s="2">
        <v>828139.04</v>
      </c>
      <c r="X13" s="4">
        <v>45839</v>
      </c>
      <c r="Y13" s="2">
        <v>679758.68</v>
      </c>
      <c r="Z13" s="2">
        <f t="shared" si="0"/>
        <v>7411036.9999999981</v>
      </c>
      <c r="AB13" s="4">
        <v>46143</v>
      </c>
      <c r="AC13" s="2">
        <v>634719.2899999998</v>
      </c>
      <c r="AD13" s="2">
        <v>137924.97</v>
      </c>
      <c r="AE13" s="2">
        <v>302294.47999999992</v>
      </c>
      <c r="AG13" s="4">
        <v>45871</v>
      </c>
      <c r="AH13" s="8">
        <v>1</v>
      </c>
      <c r="AI13" t="s">
        <v>102</v>
      </c>
      <c r="AJ13" s="2">
        <v>65923.445999999996</v>
      </c>
      <c r="AK13" s="2">
        <v>56822</v>
      </c>
      <c r="AL13" s="2"/>
      <c r="AM13" s="7">
        <v>45597</v>
      </c>
      <c r="AN13" s="2">
        <v>76960.55</v>
      </c>
    </row>
    <row r="14" spans="1:42" x14ac:dyDescent="0.3">
      <c r="A14" t="s">
        <v>62</v>
      </c>
      <c r="B14" t="s">
        <v>6</v>
      </c>
      <c r="C14" s="2">
        <v>80573.88</v>
      </c>
      <c r="D14" s="2">
        <f>VLOOKUP($C14,'[1]MCC - OBRA'!$L$6:$V$918,3,0)</f>
        <v>22449.72</v>
      </c>
      <c r="E14" s="2">
        <f>VLOOKUP($C14,'[1]MCC - OBRA'!$L$6:$V$918,4,0)</f>
        <v>0</v>
      </c>
      <c r="F14" s="2">
        <f>VLOOKUP($C14,'[1]MCC - OBRA'!$L$6:$V$918,5,0)</f>
        <v>0</v>
      </c>
      <c r="G14" s="2">
        <f>VLOOKUP($C14,'[1]MCC - OBRA'!$L$6:$V$918,6,0)</f>
        <v>0</v>
      </c>
      <c r="H14" s="2">
        <f>VLOOKUP($C14,'[1]MCC - OBRA'!$L$6:$V$918,7,0)</f>
        <v>22449.72</v>
      </c>
      <c r="I14" s="2">
        <f>VLOOKUP($C14,'[1]MCC - OBRA'!$L$6:$V$918,9,0)</f>
        <v>0</v>
      </c>
      <c r="J14" s="2">
        <f>VLOOKUP($C14,'[1]MCC - OBRA'!$L$6:$V$918,10,0)</f>
        <v>22449.72</v>
      </c>
      <c r="K14" s="2">
        <f>VLOOKUP($C14,'[1]MCC - OBRA'!$L$6:$V$918,11,0)</f>
        <v>58124.160000000003</v>
      </c>
      <c r="L14" s="2"/>
      <c r="M14" s="5">
        <f>[1]RESUMO!E23</f>
        <v>44986</v>
      </c>
      <c r="N14" s="2">
        <f>[1]RESUMO!F23</f>
        <v>36430.75</v>
      </c>
      <c r="O14" s="2">
        <f>[1]RESUMO!G23</f>
        <v>0</v>
      </c>
      <c r="P14" s="2">
        <f>[1]RESUMO!H23</f>
        <v>0</v>
      </c>
      <c r="Q14" s="2">
        <f>[1]RESUMO!I23</f>
        <v>0</v>
      </c>
      <c r="R14" s="2">
        <f>[1]RESUMO!J23</f>
        <v>36430.75</v>
      </c>
      <c r="U14" s="4">
        <v>46174</v>
      </c>
      <c r="V14" s="2">
        <v>649163.31000000006</v>
      </c>
      <c r="X14" s="4">
        <v>45870</v>
      </c>
      <c r="Y14" s="2">
        <v>998722.36</v>
      </c>
      <c r="Z14" s="2">
        <f t="shared" si="0"/>
        <v>8409759.3599999975</v>
      </c>
      <c r="AB14" s="4">
        <v>46174</v>
      </c>
      <c r="AC14" s="2">
        <v>512531.99999999977</v>
      </c>
      <c r="AD14" s="2">
        <v>175032.58999999994</v>
      </c>
      <c r="AE14" s="2">
        <v>325168.84000000008</v>
      </c>
      <c r="AG14" s="4">
        <v>45871</v>
      </c>
      <c r="AH14" s="8">
        <v>1</v>
      </c>
      <c r="AI14" t="s">
        <v>103</v>
      </c>
      <c r="AJ14" s="2">
        <v>65923.445999999996</v>
      </c>
      <c r="AK14" s="2">
        <v>56822</v>
      </c>
      <c r="AL14" s="2"/>
      <c r="AM14" s="7">
        <v>45627</v>
      </c>
      <c r="AN14" s="2">
        <v>164606.03</v>
      </c>
    </row>
    <row r="15" spans="1:42" x14ac:dyDescent="0.3">
      <c r="A15" t="s">
        <v>63</v>
      </c>
      <c r="B15" t="s">
        <v>20</v>
      </c>
      <c r="C15" s="2">
        <v>1043744.0400000002</v>
      </c>
      <c r="D15" s="2">
        <f>VLOOKUP($C15,'[1]MCC - OBRA'!$L$6:$V$918,3,0)</f>
        <v>659128.20000000007</v>
      </c>
      <c r="E15" s="2">
        <f>VLOOKUP($C15,'[1]MCC - OBRA'!$L$6:$V$918,4,0)</f>
        <v>286886.40000000002</v>
      </c>
      <c r="F15" s="2">
        <f>VLOOKUP($C15,'[1]MCC - OBRA'!$L$6:$V$918,5,0)</f>
        <v>67378.709999999992</v>
      </c>
      <c r="G15" s="2">
        <f>VLOOKUP($C15,'[1]MCC - OBRA'!$L$6:$V$918,6,0)</f>
        <v>0</v>
      </c>
      <c r="H15" s="2">
        <f>VLOOKUP($C15,'[1]MCC - OBRA'!$L$6:$V$918,7,0)</f>
        <v>1013393.31</v>
      </c>
      <c r="I15" s="2">
        <f>VLOOKUP($C15,'[1]MCC - OBRA'!$L$6:$V$918,9,0)</f>
        <v>30671.969999999998</v>
      </c>
      <c r="J15" s="2">
        <f>VLOOKUP($C15,'[1]MCC - OBRA'!$L$6:$V$918,10,0)</f>
        <v>1044065.28</v>
      </c>
      <c r="K15" s="2">
        <f>VLOOKUP($C15,'[1]MCC - OBRA'!$L$6:$V$918,11,0)</f>
        <v>-321.23999999987427</v>
      </c>
      <c r="L15" s="2"/>
      <c r="M15" s="5">
        <f>[1]RESUMO!E24</f>
        <v>45017</v>
      </c>
      <c r="N15" s="2">
        <f>[1]RESUMO!F24</f>
        <v>42274.979999999996</v>
      </c>
      <c r="O15" s="2">
        <f>[1]RESUMO!G24</f>
        <v>0</v>
      </c>
      <c r="P15" s="2">
        <f>[1]RESUMO!H24</f>
        <v>0</v>
      </c>
      <c r="Q15" s="2">
        <f>[1]RESUMO!I24</f>
        <v>0</v>
      </c>
      <c r="R15" s="2">
        <f>[1]RESUMO!J24</f>
        <v>42274.979999999996</v>
      </c>
      <c r="U15" s="4">
        <v>46204</v>
      </c>
      <c r="V15" s="2">
        <v>712365.75</v>
      </c>
      <c r="X15" s="4">
        <v>45901</v>
      </c>
      <c r="Y15" s="2">
        <v>867470.59</v>
      </c>
      <c r="Z15" s="2">
        <f t="shared" si="0"/>
        <v>9277229.9499999974</v>
      </c>
      <c r="AB15" s="4">
        <v>46204</v>
      </c>
      <c r="AC15" s="2">
        <v>458385.58000000007</v>
      </c>
      <c r="AD15" s="2">
        <v>110281.65000000002</v>
      </c>
      <c r="AE15" s="2">
        <v>323691.20999999996</v>
      </c>
      <c r="AG15" s="4">
        <v>45901</v>
      </c>
      <c r="AH15" s="8">
        <v>0.5</v>
      </c>
      <c r="AI15" t="s">
        <v>101</v>
      </c>
      <c r="AJ15" s="2">
        <v>168506.26</v>
      </c>
      <c r="AK15" s="2">
        <f>AJ15*AH15</f>
        <v>84253.13</v>
      </c>
      <c r="AL15" s="2"/>
      <c r="AM15" s="7">
        <v>45658</v>
      </c>
      <c r="AN15" s="2">
        <v>132549.51999999999</v>
      </c>
    </row>
    <row r="16" spans="1:42" x14ac:dyDescent="0.3">
      <c r="A16" t="s">
        <v>64</v>
      </c>
      <c r="B16" t="s">
        <v>10</v>
      </c>
      <c r="C16" s="2">
        <v>98837.08</v>
      </c>
      <c r="D16" s="2">
        <f>VLOOKUP($C16,'[1]MCC - OBRA'!$L$6:$V$918,3,0)</f>
        <v>145150.57999999999</v>
      </c>
      <c r="E16" s="2">
        <f>VLOOKUP($C16,'[1]MCC - OBRA'!$L$6:$V$918,4,0)</f>
        <v>0</v>
      </c>
      <c r="F16" s="2">
        <f>VLOOKUP($C16,'[1]MCC - OBRA'!$L$6:$V$918,5,0)</f>
        <v>0</v>
      </c>
      <c r="G16" s="2">
        <f>VLOOKUP($C16,'[1]MCC - OBRA'!$L$6:$V$918,6,0)</f>
        <v>0</v>
      </c>
      <c r="H16" s="2">
        <f>VLOOKUP($C16,'[1]MCC - OBRA'!$L$6:$V$918,7,0)</f>
        <v>145150.57999999999</v>
      </c>
      <c r="I16" s="2">
        <f>VLOOKUP($C16,'[1]MCC - OBRA'!$L$6:$V$918,9,0)</f>
        <v>0</v>
      </c>
      <c r="J16" s="2">
        <f>VLOOKUP($C16,'[1]MCC - OBRA'!$L$6:$V$918,10,0)</f>
        <v>145150.57999999999</v>
      </c>
      <c r="K16" s="2">
        <f>VLOOKUP($C16,'[1]MCC - OBRA'!$L$6:$V$918,11,0)</f>
        <v>-46313.499999999985</v>
      </c>
      <c r="L16" s="2"/>
      <c r="M16" s="5">
        <f>[1]RESUMO!E25</f>
        <v>45047</v>
      </c>
      <c r="N16" s="2">
        <f>[1]RESUMO!F25</f>
        <v>33164.04</v>
      </c>
      <c r="O16" s="2">
        <f>[1]RESUMO!G25</f>
        <v>0</v>
      </c>
      <c r="P16" s="2">
        <f>[1]RESUMO!H25</f>
        <v>0</v>
      </c>
      <c r="Q16" s="2">
        <f>[1]RESUMO!I25</f>
        <v>0</v>
      </c>
      <c r="R16" s="2">
        <f>[1]RESUMO!J25</f>
        <v>33164.04</v>
      </c>
      <c r="U16" s="4">
        <v>46235</v>
      </c>
      <c r="V16" s="2">
        <v>623822.48</v>
      </c>
      <c r="X16" s="4">
        <v>45931</v>
      </c>
      <c r="Y16" s="2">
        <v>1242923.75</v>
      </c>
      <c r="Z16" s="2">
        <f t="shared" si="0"/>
        <v>10520153.699999997</v>
      </c>
      <c r="AB16" s="4">
        <v>46235</v>
      </c>
      <c r="AC16" s="2">
        <v>537115.20000000007</v>
      </c>
      <c r="AD16" s="2">
        <v>126365.07</v>
      </c>
      <c r="AE16" s="2">
        <v>326882.42999999988</v>
      </c>
      <c r="AG16" s="4">
        <v>45901</v>
      </c>
      <c r="AH16" s="8">
        <v>1</v>
      </c>
      <c r="AI16" t="s">
        <v>105</v>
      </c>
      <c r="AJ16" s="2">
        <v>171010.80008000002</v>
      </c>
      <c r="AK16" s="2">
        <f t="shared" ref="AK16:AK17" si="1">AJ16*AH16</f>
        <v>171010.80008000002</v>
      </c>
      <c r="AL16" s="2"/>
      <c r="AM16" s="7">
        <v>45689</v>
      </c>
      <c r="AN16" s="2">
        <v>64736.85</v>
      </c>
    </row>
    <row r="17" spans="1:40" x14ac:dyDescent="0.3">
      <c r="A17" t="s">
        <v>65</v>
      </c>
      <c r="B17" t="s">
        <v>21</v>
      </c>
      <c r="C17" s="2">
        <v>766689.91999999993</v>
      </c>
      <c r="D17" s="2">
        <f>VLOOKUP($C17,'[1]MCC - OBRA'!$L$6:$V$918,3,0)</f>
        <v>550896.84000000008</v>
      </c>
      <c r="E17" s="2">
        <f>VLOOKUP($C17,'[1]MCC - OBRA'!$L$6:$V$918,4,0)</f>
        <v>0</v>
      </c>
      <c r="F17" s="2">
        <f>VLOOKUP($C17,'[1]MCC - OBRA'!$L$6:$V$918,5,0)</f>
        <v>0</v>
      </c>
      <c r="G17" s="2">
        <f>VLOOKUP($C17,'[1]MCC - OBRA'!$L$6:$V$918,6,0)</f>
        <v>0</v>
      </c>
      <c r="H17" s="2">
        <f>VLOOKUP($C17,'[1]MCC - OBRA'!$L$6:$V$918,7,0)</f>
        <v>550896.84000000008</v>
      </c>
      <c r="I17" s="2">
        <f>VLOOKUP($C17,'[1]MCC - OBRA'!$L$6:$V$918,9,0)</f>
        <v>46113.64</v>
      </c>
      <c r="J17" s="2">
        <f>VLOOKUP($C17,'[1]MCC - OBRA'!$L$6:$V$918,10,0)</f>
        <v>597010.4800000001</v>
      </c>
      <c r="K17" s="2">
        <f>VLOOKUP($C17,'[1]MCC - OBRA'!$L$6:$V$918,11,0)</f>
        <v>169679.43999999983</v>
      </c>
      <c r="L17" s="2"/>
      <c r="M17" s="5">
        <f>[1]RESUMO!E26</f>
        <v>45078</v>
      </c>
      <c r="N17" s="2">
        <f>[1]RESUMO!F26</f>
        <v>44100.280000000006</v>
      </c>
      <c r="O17" s="2">
        <f>[1]RESUMO!G26</f>
        <v>0</v>
      </c>
      <c r="P17" s="2">
        <f>[1]RESUMO!H26</f>
        <v>0</v>
      </c>
      <c r="Q17" s="2">
        <f>[1]RESUMO!I26</f>
        <v>0</v>
      </c>
      <c r="R17" s="2">
        <f>[1]RESUMO!J26</f>
        <v>44100.280000000006</v>
      </c>
      <c r="X17" s="4">
        <v>45962</v>
      </c>
      <c r="Y17" s="2">
        <v>1056603.5</v>
      </c>
      <c r="Z17" s="2">
        <f t="shared" si="0"/>
        <v>11576757.199999997</v>
      </c>
      <c r="AC17" s="2"/>
      <c r="AG17" s="4">
        <v>45901</v>
      </c>
      <c r="AH17" s="8">
        <v>0.5</v>
      </c>
      <c r="AI17" t="s">
        <v>104</v>
      </c>
      <c r="AJ17" s="2">
        <v>167756.21000000002</v>
      </c>
      <c r="AK17" s="2">
        <f t="shared" si="1"/>
        <v>83878.10500000001</v>
      </c>
      <c r="AL17" s="2"/>
      <c r="AM17" s="7">
        <v>45717</v>
      </c>
      <c r="AN17" s="2">
        <v>119676.47</v>
      </c>
    </row>
    <row r="18" spans="1:40" x14ac:dyDescent="0.3">
      <c r="A18" t="s">
        <v>66</v>
      </c>
      <c r="B18" t="s">
        <v>11</v>
      </c>
      <c r="C18" s="2">
        <v>644368.6</v>
      </c>
      <c r="D18" s="2">
        <f>VLOOKUP($C18,'[1]MCC - OBRA'!$L$6:$V$918,3,0)</f>
        <v>740758.89999999991</v>
      </c>
      <c r="E18" s="2">
        <f>VLOOKUP($C18,'[1]MCC - OBRA'!$L$6:$V$918,4,0)</f>
        <v>0</v>
      </c>
      <c r="F18" s="2">
        <f>VLOOKUP($C18,'[1]MCC - OBRA'!$L$6:$V$918,5,0)</f>
        <v>1711.28</v>
      </c>
      <c r="G18" s="2">
        <f>VLOOKUP($C18,'[1]MCC - OBRA'!$L$6:$V$918,6,0)</f>
        <v>1424</v>
      </c>
      <c r="H18" s="2">
        <f>VLOOKUP($C18,'[1]MCC - OBRA'!$L$6:$V$918,7,0)</f>
        <v>743894.17999999993</v>
      </c>
      <c r="I18" s="2">
        <f>VLOOKUP($C18,'[1]MCC - OBRA'!$L$6:$V$918,9,0)</f>
        <v>0</v>
      </c>
      <c r="J18" s="2">
        <f>VLOOKUP($C18,'[1]MCC - OBRA'!$L$6:$V$918,10,0)</f>
        <v>743894.17999999993</v>
      </c>
      <c r="K18" s="2">
        <f>VLOOKUP($C18,'[1]MCC - OBRA'!$L$6:$V$918,11,0)</f>
        <v>-99525.579999999958</v>
      </c>
      <c r="L18" s="2"/>
      <c r="M18" s="5">
        <f>[1]RESUMO!E27</f>
        <v>45108</v>
      </c>
      <c r="N18" s="2">
        <f>[1]RESUMO!F27</f>
        <v>61013.12000000001</v>
      </c>
      <c r="O18" s="2">
        <f>[1]RESUMO!G27</f>
        <v>0</v>
      </c>
      <c r="P18" s="2">
        <f>[1]RESUMO!H27</f>
        <v>0</v>
      </c>
      <c r="Q18" s="2">
        <f>[1]RESUMO!I27</f>
        <v>0</v>
      </c>
      <c r="R18" s="2">
        <f>[1]RESUMO!J27</f>
        <v>61013.12000000001</v>
      </c>
      <c r="X18" s="4">
        <v>45992</v>
      </c>
      <c r="Y18" s="2">
        <v>675822.77</v>
      </c>
      <c r="Z18" s="2">
        <f t="shared" si="0"/>
        <v>12252579.969999997</v>
      </c>
      <c r="AC18" s="2"/>
      <c r="AG18" s="4">
        <v>45901</v>
      </c>
      <c r="AH18" s="8">
        <v>1</v>
      </c>
      <c r="AI18" t="s">
        <v>106</v>
      </c>
      <c r="AJ18" s="2">
        <v>65923.445999999996</v>
      </c>
      <c r="AK18" s="2">
        <v>56822</v>
      </c>
      <c r="AL18" s="2"/>
      <c r="AM18" s="7">
        <v>45748</v>
      </c>
      <c r="AN18" s="2">
        <v>71668.98</v>
      </c>
    </row>
    <row r="19" spans="1:40" x14ac:dyDescent="0.3">
      <c r="A19" t="s">
        <v>67</v>
      </c>
      <c r="B19" t="s">
        <v>22</v>
      </c>
      <c r="C19" s="2">
        <v>718642.58999999973</v>
      </c>
      <c r="D19" s="2">
        <f>VLOOKUP($C19,'[1]MCC - OBRA'!$L$6:$V$918,3,0)</f>
        <v>190653.74000000002</v>
      </c>
      <c r="E19" s="2">
        <f>VLOOKUP($C19,'[1]MCC - OBRA'!$L$6:$V$918,4,0)</f>
        <v>0</v>
      </c>
      <c r="F19" s="2">
        <f>VLOOKUP($C19,'[1]MCC - OBRA'!$L$6:$V$918,5,0)</f>
        <v>34073.61</v>
      </c>
      <c r="G19" s="2">
        <f>VLOOKUP($C19,'[1]MCC - OBRA'!$L$6:$V$918,6,0)</f>
        <v>0</v>
      </c>
      <c r="H19" s="2">
        <f>VLOOKUP($C19,'[1]MCC - OBRA'!$L$6:$V$918,7,0)</f>
        <v>224727.35000000003</v>
      </c>
      <c r="I19" s="2">
        <f>VLOOKUP($C19,'[1]MCC - OBRA'!$L$6:$V$918,9,0)</f>
        <v>165998.12</v>
      </c>
      <c r="J19" s="2">
        <f>VLOOKUP($C19,'[1]MCC - OBRA'!$L$6:$V$918,10,0)</f>
        <v>390725.47000000003</v>
      </c>
      <c r="K19" s="2">
        <f>VLOOKUP($C19,'[1]MCC - OBRA'!$L$6:$V$918,11,0)</f>
        <v>327917.1199999997</v>
      </c>
      <c r="L19" s="2"/>
      <c r="M19" s="5">
        <f>[1]RESUMO!E28</f>
        <v>45139</v>
      </c>
      <c r="N19" s="2">
        <f>[1]RESUMO!F28</f>
        <v>128762.67</v>
      </c>
      <c r="O19" s="2">
        <f>[1]RESUMO!G28</f>
        <v>0</v>
      </c>
      <c r="P19" s="2">
        <f>[1]RESUMO!H28</f>
        <v>0</v>
      </c>
      <c r="Q19" s="2">
        <f>[1]RESUMO!I28</f>
        <v>0</v>
      </c>
      <c r="R19" s="2">
        <f>[1]RESUMO!J28</f>
        <v>128762.67</v>
      </c>
      <c r="X19" s="4">
        <v>46023</v>
      </c>
      <c r="Y19" s="2">
        <v>776691.85</v>
      </c>
      <c r="Z19" s="2">
        <f t="shared" si="0"/>
        <v>13029271.819999997</v>
      </c>
      <c r="AC19" s="2"/>
      <c r="AG19" s="4">
        <v>45901</v>
      </c>
      <c r="AH19" s="8">
        <v>1</v>
      </c>
      <c r="AI19" t="s">
        <v>107</v>
      </c>
      <c r="AJ19" s="2">
        <v>65923.445999999996</v>
      </c>
      <c r="AK19" s="2">
        <v>56822</v>
      </c>
      <c r="AL19" s="2"/>
      <c r="AM19" s="7">
        <v>45778</v>
      </c>
      <c r="AN19" s="2">
        <v>59739.96</v>
      </c>
    </row>
    <row r="20" spans="1:40" x14ac:dyDescent="0.3">
      <c r="A20" t="s">
        <v>68</v>
      </c>
      <c r="B20" t="s">
        <v>12</v>
      </c>
      <c r="C20" s="2">
        <v>1468780.31</v>
      </c>
      <c r="D20" s="2">
        <f>VLOOKUP($C20,'[1]MCC - OBRA'!$L$6:$V$918,3,0)</f>
        <v>1441484.04</v>
      </c>
      <c r="E20" s="2">
        <f>VLOOKUP($C20,'[1]MCC - OBRA'!$L$6:$V$918,4,0)</f>
        <v>0</v>
      </c>
      <c r="F20" s="2">
        <f>VLOOKUP($C20,'[1]MCC - OBRA'!$L$6:$V$918,5,0)</f>
        <v>61.52</v>
      </c>
      <c r="G20" s="2">
        <f>VLOOKUP($C20,'[1]MCC - OBRA'!$L$6:$V$918,6,0)</f>
        <v>0</v>
      </c>
      <c r="H20" s="2">
        <f>VLOOKUP($C20,'[1]MCC - OBRA'!$L$6:$V$918,7,0)</f>
        <v>1441545.56</v>
      </c>
      <c r="I20" s="2">
        <f>VLOOKUP($C20,'[1]MCC - OBRA'!$L$6:$V$918,9,0)</f>
        <v>0</v>
      </c>
      <c r="J20" s="2">
        <f>VLOOKUP($C20,'[1]MCC - OBRA'!$L$6:$V$918,10,0)</f>
        <v>1441545.56</v>
      </c>
      <c r="K20" s="2">
        <f>VLOOKUP($C20,'[1]MCC - OBRA'!$L$6:$V$918,11,0)</f>
        <v>27234.75</v>
      </c>
      <c r="L20" s="2"/>
      <c r="M20" s="5">
        <f>[1]RESUMO!E29</f>
        <v>45170</v>
      </c>
      <c r="N20" s="2">
        <f>[1]RESUMO!F29</f>
        <v>68669.770000000019</v>
      </c>
      <c r="O20" s="2">
        <f>[1]RESUMO!G29</f>
        <v>0</v>
      </c>
      <c r="P20" s="2">
        <f>[1]RESUMO!H29</f>
        <v>0</v>
      </c>
      <c r="Q20" s="2">
        <f>[1]RESUMO!I29</f>
        <v>0</v>
      </c>
      <c r="R20" s="2">
        <f>[1]RESUMO!J29</f>
        <v>68669.770000000019</v>
      </c>
      <c r="X20" s="4">
        <v>46054</v>
      </c>
      <c r="Y20" s="2">
        <v>834981.86</v>
      </c>
      <c r="Z20" s="2">
        <f t="shared" si="0"/>
        <v>13864253.679999996</v>
      </c>
      <c r="AC20" s="2"/>
      <c r="AG20" s="4">
        <v>45901</v>
      </c>
      <c r="AH20" s="8">
        <v>1</v>
      </c>
      <c r="AI20" t="s">
        <v>86</v>
      </c>
      <c r="AJ20" s="6">
        <v>25199.405999999999</v>
      </c>
      <c r="AK20" s="2">
        <v>12484.474166666667</v>
      </c>
      <c r="AL20" s="2"/>
      <c r="AM20" s="7">
        <v>45809</v>
      </c>
      <c r="AN20" s="2">
        <f>156787.12-53956.55</f>
        <v>102830.56999999999</v>
      </c>
    </row>
    <row r="21" spans="1:40" x14ac:dyDescent="0.3">
      <c r="A21" t="s">
        <v>69</v>
      </c>
      <c r="B21" t="s">
        <v>23</v>
      </c>
      <c r="C21" s="2">
        <v>457093.31999999995</v>
      </c>
      <c r="D21" s="2">
        <f>VLOOKUP($C21,'[1]MCC - OBRA'!$L$6:$V$918,3,0)</f>
        <v>322514.71000000008</v>
      </c>
      <c r="E21" s="2">
        <f>VLOOKUP($C21,'[1]MCC - OBRA'!$L$6:$V$918,4,0)</f>
        <v>3121.4399999999991</v>
      </c>
      <c r="F21" s="2">
        <f>VLOOKUP($C21,'[1]MCC - OBRA'!$L$6:$V$918,5,0)</f>
        <v>33174.26</v>
      </c>
      <c r="G21" s="2">
        <f>VLOOKUP($C21,'[1]MCC - OBRA'!$L$6:$V$918,6,0)</f>
        <v>3317.4</v>
      </c>
      <c r="H21" s="2">
        <f>VLOOKUP($C21,'[1]MCC - OBRA'!$L$6:$V$918,7,0)</f>
        <v>362127.81000000011</v>
      </c>
      <c r="I21" s="2">
        <f>VLOOKUP($C21,'[1]MCC - OBRA'!$L$6:$V$918,9,0)</f>
        <v>49305.16</v>
      </c>
      <c r="J21" s="2">
        <f>VLOOKUP($C21,'[1]MCC - OBRA'!$L$6:$V$918,10,0)</f>
        <v>411432.97000000009</v>
      </c>
      <c r="K21" s="2">
        <f>VLOOKUP($C21,'[1]MCC - OBRA'!$L$6:$V$918,11,0)</f>
        <v>45660.34999999986</v>
      </c>
      <c r="L21" s="2"/>
      <c r="M21" s="5">
        <f>[1]RESUMO!E30</f>
        <v>45200</v>
      </c>
      <c r="N21" s="2">
        <f>[1]RESUMO!F30</f>
        <v>255986.18</v>
      </c>
      <c r="O21" s="2">
        <f>[1]RESUMO!G30</f>
        <v>0</v>
      </c>
      <c r="P21" s="2">
        <f>[1]RESUMO!H30</f>
        <v>0</v>
      </c>
      <c r="Q21" s="2">
        <f>[1]RESUMO!I30</f>
        <v>0</v>
      </c>
      <c r="R21" s="2">
        <f>[1]RESUMO!J30</f>
        <v>255986.18</v>
      </c>
      <c r="X21" s="4">
        <v>46082</v>
      </c>
      <c r="Y21" s="2">
        <v>1139860.7339999999</v>
      </c>
      <c r="Z21" s="2">
        <v>14749861.14015384</v>
      </c>
      <c r="AC21" s="2"/>
      <c r="AG21" s="4">
        <v>45901</v>
      </c>
      <c r="AH21" s="8">
        <v>1</v>
      </c>
      <c r="AI21" t="s">
        <v>108</v>
      </c>
      <c r="AJ21" s="6">
        <v>28998.7</v>
      </c>
      <c r="AK21" s="12">
        <v>15630.61</v>
      </c>
      <c r="AL21" s="2"/>
      <c r="AM21" s="7">
        <v>45839</v>
      </c>
      <c r="AN21" s="2">
        <v>60016.47</v>
      </c>
    </row>
    <row r="22" spans="1:40" x14ac:dyDescent="0.3">
      <c r="A22" t="s">
        <v>70</v>
      </c>
      <c r="B22" t="s">
        <v>13</v>
      </c>
      <c r="C22" s="2">
        <v>5180115.879999999</v>
      </c>
      <c r="D22" s="2">
        <f>VLOOKUP($C22,'[1]MCC - OBRA'!$L$6:$V$918,3,0)</f>
        <v>5190646.38</v>
      </c>
      <c r="E22" s="2">
        <f>VLOOKUP($C22,'[1]MCC - OBRA'!$L$6:$V$918,4,0)</f>
        <v>6904.3</v>
      </c>
      <c r="F22" s="2">
        <f>VLOOKUP($C22,'[1]MCC - OBRA'!$L$6:$V$918,5,0)</f>
        <v>28050.639999999996</v>
      </c>
      <c r="G22" s="2">
        <f>VLOOKUP($C22,'[1]MCC - OBRA'!$L$6:$V$918,6,0)</f>
        <v>0</v>
      </c>
      <c r="H22" s="2">
        <f>VLOOKUP($C22,'[1]MCC - OBRA'!$L$6:$V$918,7,0)</f>
        <v>5225601.3199999994</v>
      </c>
      <c r="I22" s="2">
        <f>VLOOKUP($C22,'[1]MCC - OBRA'!$L$6:$V$918,9,0)</f>
        <v>-137000</v>
      </c>
      <c r="J22" s="2">
        <f>VLOOKUP($C22,'[1]MCC - OBRA'!$L$6:$V$918,10,0)</f>
        <v>5088601.3199999994</v>
      </c>
      <c r="K22" s="2">
        <f>VLOOKUP($C22,'[1]MCC - OBRA'!$L$6:$V$918,11,0)</f>
        <v>91514.55999999959</v>
      </c>
      <c r="L22" s="2"/>
      <c r="M22" s="5">
        <f>[1]RESUMO!E31</f>
        <v>45231</v>
      </c>
      <c r="N22" s="2">
        <f>[1]RESUMO!F31</f>
        <v>169383.21999999997</v>
      </c>
      <c r="O22" s="2">
        <f>[1]RESUMO!G31</f>
        <v>0</v>
      </c>
      <c r="P22" s="2">
        <f>[1]RESUMO!H31</f>
        <v>0</v>
      </c>
      <c r="Q22" s="2">
        <f>[1]RESUMO!I31</f>
        <v>0</v>
      </c>
      <c r="R22" s="2">
        <f>[1]RESUMO!J31</f>
        <v>169383.21999999997</v>
      </c>
      <c r="X22" s="4">
        <v>46113</v>
      </c>
      <c r="Y22" s="2">
        <v>796436.82240000006</v>
      </c>
      <c r="Z22" s="2">
        <v>15546297.962553844</v>
      </c>
      <c r="AC22" s="2"/>
      <c r="AG22" s="4">
        <v>45901</v>
      </c>
      <c r="AH22" s="8">
        <v>1</v>
      </c>
      <c r="AI22" t="s">
        <v>109</v>
      </c>
      <c r="AJ22" s="6">
        <v>28998.7</v>
      </c>
      <c r="AK22" s="12">
        <v>23308.06</v>
      </c>
      <c r="AL22" s="2"/>
      <c r="AM22" s="7">
        <v>45870</v>
      </c>
      <c r="AN22" s="2">
        <v>89442.32</v>
      </c>
    </row>
    <row r="23" spans="1:40" x14ac:dyDescent="0.3">
      <c r="A23" t="s">
        <v>71</v>
      </c>
      <c r="B23" t="s">
        <v>24</v>
      </c>
      <c r="C23" s="2">
        <v>1301538.4799999997</v>
      </c>
      <c r="D23" s="2">
        <f>VLOOKUP($C23,'[1]MCC - OBRA'!$L$6:$V$918,3,0)</f>
        <v>866509.13</v>
      </c>
      <c r="E23" s="2">
        <f>VLOOKUP($C23,'[1]MCC - OBRA'!$L$6:$V$918,4,0)</f>
        <v>1971.21</v>
      </c>
      <c r="F23" s="2">
        <f>VLOOKUP($C23,'[1]MCC - OBRA'!$L$6:$V$918,5,0)</f>
        <v>53324.380000000005</v>
      </c>
      <c r="G23" s="2">
        <f>VLOOKUP($C23,'[1]MCC - OBRA'!$L$6:$V$918,6,0)</f>
        <v>12995.43</v>
      </c>
      <c r="H23" s="2">
        <f>VLOOKUP($C23,'[1]MCC - OBRA'!$L$6:$V$918,7,0)</f>
        <v>934800.15</v>
      </c>
      <c r="I23" s="2">
        <f>VLOOKUP($C23,'[1]MCC - OBRA'!$L$6:$V$918,9,0)</f>
        <v>156010.19</v>
      </c>
      <c r="J23" s="2">
        <f>VLOOKUP($C23,'[1]MCC - OBRA'!$L$6:$V$918,10,0)</f>
        <v>1090810.3400000001</v>
      </c>
      <c r="K23" s="2">
        <f>VLOOKUP($C23,'[1]MCC - OBRA'!$L$6:$V$918,11,0)</f>
        <v>210728.13999999966</v>
      </c>
      <c r="L23" s="2"/>
      <c r="M23" s="5">
        <f>[1]RESUMO!E32</f>
        <v>45261</v>
      </c>
      <c r="N23" s="2">
        <f>[1]RESUMO!F32</f>
        <v>470567.16</v>
      </c>
      <c r="O23" s="2">
        <f>[1]RESUMO!G32</f>
        <v>0</v>
      </c>
      <c r="P23" s="2">
        <f>[1]RESUMO!H32</f>
        <v>0</v>
      </c>
      <c r="Q23" s="2">
        <f>[1]RESUMO!I32</f>
        <v>0</v>
      </c>
      <c r="R23" s="2">
        <f>[1]RESUMO!J32</f>
        <v>470567.16</v>
      </c>
      <c r="X23" s="4">
        <v>46143</v>
      </c>
      <c r="Y23" s="2">
        <v>991058.50939999998</v>
      </c>
      <c r="Z23" s="2">
        <v>16537356.471953845</v>
      </c>
      <c r="AC23" s="2"/>
      <c r="AG23" s="4">
        <v>45901</v>
      </c>
      <c r="AH23" s="8">
        <v>1</v>
      </c>
      <c r="AI23" t="s">
        <v>110</v>
      </c>
      <c r="AJ23" s="6">
        <v>28998.7</v>
      </c>
      <c r="AK23" s="12">
        <v>19870.03</v>
      </c>
      <c r="AL23" s="2"/>
      <c r="AM23" s="7">
        <v>45901</v>
      </c>
      <c r="AN23" s="2">
        <v>119283.07</v>
      </c>
    </row>
    <row r="24" spans="1:40" x14ac:dyDescent="0.3">
      <c r="A24" t="s">
        <v>72</v>
      </c>
      <c r="B24" t="s">
        <v>25</v>
      </c>
      <c r="C24" s="2">
        <v>523651.85000000015</v>
      </c>
      <c r="D24" s="2">
        <f>VLOOKUP($C24,'[1]MCC - OBRA'!$L$6:$V$918,3,0)</f>
        <v>78628.340000000011</v>
      </c>
      <c r="E24" s="2">
        <f>VLOOKUP($C24,'[1]MCC - OBRA'!$L$6:$V$918,4,0)</f>
        <v>1751.4</v>
      </c>
      <c r="F24" s="2">
        <f>VLOOKUP($C24,'[1]MCC - OBRA'!$L$6:$V$918,5,0)</f>
        <v>188651.64</v>
      </c>
      <c r="G24" s="2">
        <f>VLOOKUP($C24,'[1]MCC - OBRA'!$L$6:$V$918,6,0)</f>
        <v>175</v>
      </c>
      <c r="H24" s="2">
        <f>VLOOKUP($C24,'[1]MCC - OBRA'!$L$6:$V$918,7,0)</f>
        <v>269206.38</v>
      </c>
      <c r="I24" s="2">
        <f>VLOOKUP($C24,'[1]MCC - OBRA'!$L$6:$V$918,9,0)</f>
        <v>45311.909999999996</v>
      </c>
      <c r="J24" s="2">
        <f>VLOOKUP($C24,'[1]MCC - OBRA'!$L$6:$V$918,10,0)</f>
        <v>314518.28999999998</v>
      </c>
      <c r="K24" s="2">
        <f>VLOOKUP($C24,'[1]MCC - OBRA'!$L$6:$V$918,11,0)</f>
        <v>209133.56000000017</v>
      </c>
      <c r="L24" s="2"/>
      <c r="M24" s="5">
        <f>[1]RESUMO!E33</f>
        <v>45292</v>
      </c>
      <c r="N24" s="2">
        <f>[1]RESUMO!F33</f>
        <v>172297.39999999997</v>
      </c>
      <c r="O24" s="2">
        <f>[1]RESUMO!G33</f>
        <v>0</v>
      </c>
      <c r="P24" s="2">
        <f>[1]RESUMO!H33</f>
        <v>0</v>
      </c>
      <c r="Q24" s="2">
        <f>[1]RESUMO!I33</f>
        <v>0</v>
      </c>
      <c r="R24" s="2">
        <f>[1]RESUMO!J33</f>
        <v>172297.39999999997</v>
      </c>
      <c r="X24" s="4">
        <v>46174</v>
      </c>
      <c r="Y24" s="2">
        <v>836394.86049999995</v>
      </c>
      <c r="Z24" s="2">
        <v>17373751.332453843</v>
      </c>
      <c r="AC24" s="2"/>
      <c r="AG24" s="4">
        <v>45901</v>
      </c>
      <c r="AH24" s="8">
        <v>1</v>
      </c>
      <c r="AI24" t="s">
        <v>111</v>
      </c>
      <c r="AJ24" s="6">
        <v>28998.7</v>
      </c>
      <c r="AK24" s="12">
        <v>19430.63</v>
      </c>
      <c r="AL24" s="2"/>
      <c r="AM24" s="7">
        <v>45931</v>
      </c>
      <c r="AN24" s="2">
        <f>330027.54-77909.76-75419.7</f>
        <v>176698.07999999996</v>
      </c>
    </row>
    <row r="25" spans="1:40" x14ac:dyDescent="0.3">
      <c r="A25" t="s">
        <v>73</v>
      </c>
      <c r="B25" t="s">
        <v>26</v>
      </c>
      <c r="C25" s="2">
        <v>332545.65000000002</v>
      </c>
      <c r="D25" s="2">
        <f>VLOOKUP($C25,'[1]MCC - OBRA'!$L$6:$V$918,3,0)</f>
        <v>573863.14999999991</v>
      </c>
      <c r="E25" s="2">
        <f>VLOOKUP($C25,'[1]MCC - OBRA'!$L$6:$V$918,4,0)</f>
        <v>109025.22</v>
      </c>
      <c r="F25" s="2">
        <f>VLOOKUP($C25,'[1]MCC - OBRA'!$L$6:$V$918,5,0)</f>
        <v>159953.03</v>
      </c>
      <c r="G25" s="2">
        <f>VLOOKUP($C25,'[1]MCC - OBRA'!$L$6:$V$918,6,0)</f>
        <v>6323.1100000000006</v>
      </c>
      <c r="H25" s="2">
        <f>VLOOKUP($C25,'[1]MCC - OBRA'!$L$6:$V$918,7,0)</f>
        <v>849164.50999999989</v>
      </c>
      <c r="I25" s="2">
        <f>VLOOKUP($C25,'[1]MCC - OBRA'!$L$6:$V$918,9,0)</f>
        <v>-40000</v>
      </c>
      <c r="J25" s="2">
        <f>VLOOKUP($C25,'[1]MCC - OBRA'!$L$6:$V$918,10,0)</f>
        <v>809164.50999999989</v>
      </c>
      <c r="K25" s="2">
        <f>VLOOKUP($C25,'[1]MCC - OBRA'!$L$6:$V$918,11,0)</f>
        <v>-476618.85999999987</v>
      </c>
      <c r="L25" s="2"/>
      <c r="M25" s="5">
        <f>[1]RESUMO!E34</f>
        <v>45323</v>
      </c>
      <c r="N25" s="2">
        <f>[1]RESUMO!F34</f>
        <v>135790.87</v>
      </c>
      <c r="O25" s="2">
        <f>[1]RESUMO!G34</f>
        <v>0</v>
      </c>
      <c r="P25" s="2">
        <f>[1]RESUMO!H34</f>
        <v>0</v>
      </c>
      <c r="Q25" s="2">
        <f>[1]RESUMO!I34</f>
        <v>0</v>
      </c>
      <c r="R25" s="2">
        <f>[1]RESUMO!J34</f>
        <v>135790.87</v>
      </c>
      <c r="X25" s="4">
        <v>46204</v>
      </c>
      <c r="Y25" s="2">
        <v>1015226.1112999998</v>
      </c>
      <c r="Z25" s="2">
        <v>18388977.443753842</v>
      </c>
      <c r="AC25" s="2"/>
      <c r="AG25" s="4">
        <v>45931</v>
      </c>
      <c r="AH25" s="8">
        <v>0.5</v>
      </c>
      <c r="AI25" t="s">
        <v>104</v>
      </c>
      <c r="AJ25" s="2">
        <v>167756.21000000002</v>
      </c>
      <c r="AK25" s="12">
        <v>184460.29</v>
      </c>
      <c r="AL25" s="2"/>
      <c r="AM25" s="7">
        <v>45963</v>
      </c>
      <c r="AN25" s="2">
        <f>557928.34-87341.59</f>
        <v>470586.75</v>
      </c>
    </row>
    <row r="26" spans="1:40" x14ac:dyDescent="0.3">
      <c r="A26" t="s">
        <v>74</v>
      </c>
      <c r="B26" t="s">
        <v>27</v>
      </c>
      <c r="C26" s="2">
        <v>355821.09</v>
      </c>
      <c r="D26" s="2">
        <f>VLOOKUP($C26,'[1]MCC - OBRA'!$L$6:$V$918,3,0)</f>
        <v>81509.98</v>
      </c>
      <c r="E26" s="2">
        <f>VLOOKUP($C26,'[1]MCC - OBRA'!$L$6:$V$918,4,0)</f>
        <v>5926.41</v>
      </c>
      <c r="F26" s="2">
        <f>VLOOKUP($C26,'[1]MCC - OBRA'!$L$6:$V$918,5,0)</f>
        <v>0</v>
      </c>
      <c r="G26" s="2">
        <f>VLOOKUP($C26,'[1]MCC - OBRA'!$L$6:$V$918,6,0)</f>
        <v>0</v>
      </c>
      <c r="H26" s="2">
        <f>VLOOKUP($C26,'[1]MCC - OBRA'!$L$6:$V$918,7,0)</f>
        <v>87436.39</v>
      </c>
      <c r="I26" s="2">
        <f>VLOOKUP($C26,'[1]MCC - OBRA'!$L$6:$V$918,9,0)</f>
        <v>224525.48</v>
      </c>
      <c r="J26" s="2">
        <f>VLOOKUP($C26,'[1]MCC - OBRA'!$L$6:$V$918,10,0)</f>
        <v>311961.87</v>
      </c>
      <c r="K26" s="2">
        <f>VLOOKUP($C26,'[1]MCC - OBRA'!$L$6:$V$918,11,0)</f>
        <v>43859.22000000003</v>
      </c>
      <c r="L26" s="2"/>
      <c r="M26" s="5">
        <f>[1]RESUMO!E35</f>
        <v>45352</v>
      </c>
      <c r="N26" s="2">
        <f>[1]RESUMO!F35</f>
        <v>144913.18000000005</v>
      </c>
      <c r="O26" s="2">
        <f>[1]RESUMO!G35</f>
        <v>0</v>
      </c>
      <c r="P26" s="2">
        <f>[1]RESUMO!H35</f>
        <v>0</v>
      </c>
      <c r="Q26" s="2">
        <f>[1]RESUMO!I35</f>
        <v>0</v>
      </c>
      <c r="R26" s="2">
        <f>[1]RESUMO!J35</f>
        <v>144913.18000000005</v>
      </c>
      <c r="X26" s="4">
        <v>46235</v>
      </c>
      <c r="Y26" s="2">
        <v>947074.47759999987</v>
      </c>
      <c r="Z26" s="13">
        <f>Z25+Y26</f>
        <v>19336051.921353843</v>
      </c>
      <c r="AG26" s="4">
        <v>45931</v>
      </c>
      <c r="AH26" s="8">
        <v>1</v>
      </c>
      <c r="AI26" t="s">
        <v>114</v>
      </c>
      <c r="AK26" s="12">
        <v>160225.76</v>
      </c>
      <c r="AL26" s="2"/>
      <c r="AM26" s="7">
        <v>45994</v>
      </c>
      <c r="AN26" s="2">
        <f>344011.93-80619.38</f>
        <v>263392.55</v>
      </c>
    </row>
    <row r="27" spans="1:40" x14ac:dyDescent="0.3">
      <c r="A27" t="s">
        <v>75</v>
      </c>
      <c r="B27" t="s">
        <v>28</v>
      </c>
      <c r="C27" s="2">
        <v>544000</v>
      </c>
      <c r="D27" s="2">
        <f>VLOOKUP($C27,'[1]MCC - OBRA'!$L$6:$V$918,3,0)</f>
        <v>568752.20000000007</v>
      </c>
      <c r="E27" s="2">
        <f>VLOOKUP($C27,'[1]MCC - OBRA'!$L$6:$V$918,4,0)</f>
        <v>0</v>
      </c>
      <c r="F27" s="2">
        <f>VLOOKUP($C27,'[1]MCC - OBRA'!$L$6:$V$918,5,0)</f>
        <v>0</v>
      </c>
      <c r="G27" s="2">
        <f>VLOOKUP($C27,'[1]MCC - OBRA'!$L$6:$V$918,6,0)</f>
        <v>0</v>
      </c>
      <c r="H27" s="2">
        <f>VLOOKUP($C27,'[1]MCC - OBRA'!$L$6:$V$918,7,0)</f>
        <v>568752.20000000007</v>
      </c>
      <c r="I27" s="2">
        <f>VLOOKUP($C27,'[1]MCC - OBRA'!$L$6:$V$918,9,0)</f>
        <v>0</v>
      </c>
      <c r="J27" s="2">
        <f>VLOOKUP($C27,'[1]MCC - OBRA'!$L$6:$V$918,10,0)</f>
        <v>568752.20000000007</v>
      </c>
      <c r="K27" s="2">
        <f>VLOOKUP($C27,'[1]MCC - OBRA'!$L$6:$V$918,11,0)</f>
        <v>-24752.20000000007</v>
      </c>
      <c r="L27" s="2"/>
      <c r="M27" s="5">
        <f>[1]RESUMO!E36</f>
        <v>45383</v>
      </c>
      <c r="N27" s="2">
        <f>[1]RESUMO!F36</f>
        <v>78135.970000000016</v>
      </c>
      <c r="O27" s="2">
        <f>[1]RESUMO!G36</f>
        <v>0</v>
      </c>
      <c r="P27" s="2">
        <f>[1]RESUMO!H36</f>
        <v>0</v>
      </c>
      <c r="Q27" s="2">
        <f>[1]RESUMO!I36</f>
        <v>0</v>
      </c>
      <c r="R27" s="2">
        <f>[1]RESUMO!J36</f>
        <v>78135.970000000016</v>
      </c>
      <c r="AG27" s="4">
        <v>45931</v>
      </c>
      <c r="AH27" s="8">
        <v>1</v>
      </c>
      <c r="AI27" t="s">
        <v>112</v>
      </c>
      <c r="AJ27" s="2">
        <v>65923.445999999996</v>
      </c>
      <c r="AK27" s="2">
        <v>48647.753333333334</v>
      </c>
      <c r="AL27" s="2"/>
      <c r="AM27" s="7">
        <v>46023</v>
      </c>
      <c r="AN27" s="2">
        <v>125050.71</v>
      </c>
    </row>
    <row r="28" spans="1:40" x14ac:dyDescent="0.3">
      <c r="A28" t="s">
        <v>76</v>
      </c>
      <c r="B28" t="s">
        <v>29</v>
      </c>
      <c r="C28" s="2">
        <v>461189.67000000004</v>
      </c>
      <c r="D28" s="2">
        <f>VLOOKUP($C28,'[1]MCC - OBRA'!$L$6:$V$918,3,0)</f>
        <v>173651.19999999998</v>
      </c>
      <c r="E28" s="2">
        <f>VLOOKUP($C28,'[1]MCC - OBRA'!$L$6:$V$918,4,0)</f>
        <v>41538.879999999997</v>
      </c>
      <c r="F28" s="2">
        <f>VLOOKUP($C28,'[1]MCC - OBRA'!$L$6:$V$918,5,0)</f>
        <v>0</v>
      </c>
      <c r="G28" s="2">
        <f>VLOOKUP($C28,'[1]MCC - OBRA'!$L$6:$V$918,6,0)</f>
        <v>0</v>
      </c>
      <c r="H28" s="2">
        <f>VLOOKUP($C28,'[1]MCC - OBRA'!$L$6:$V$918,7,0)</f>
        <v>215190.08</v>
      </c>
      <c r="I28" s="2">
        <f>VLOOKUP($C28,'[1]MCC - OBRA'!$L$6:$V$918,9,0)</f>
        <v>14352.44</v>
      </c>
      <c r="J28" s="2">
        <f>VLOOKUP($C28,'[1]MCC - OBRA'!$L$6:$V$918,10,0)</f>
        <v>229542.52</v>
      </c>
      <c r="K28" s="2">
        <f>VLOOKUP($C28,'[1]MCC - OBRA'!$L$6:$V$918,11,0)</f>
        <v>231647.15000000005</v>
      </c>
      <c r="L28" s="2"/>
      <c r="M28" s="5">
        <f>[1]RESUMO!E37</f>
        <v>45413</v>
      </c>
      <c r="N28" s="2">
        <f>[1]RESUMO!F37</f>
        <v>198492.28999999998</v>
      </c>
      <c r="O28" s="2">
        <f>[1]RESUMO!G37</f>
        <v>0</v>
      </c>
      <c r="P28" s="2">
        <f>[1]RESUMO!H37</f>
        <v>0</v>
      </c>
      <c r="Q28" s="2">
        <f>[1]RESUMO!I37</f>
        <v>0</v>
      </c>
      <c r="R28" s="2">
        <f>[1]RESUMO!J37</f>
        <v>198492.28999999998</v>
      </c>
      <c r="AG28" s="4">
        <v>45931</v>
      </c>
      <c r="AH28" s="8">
        <v>1</v>
      </c>
      <c r="AI28" t="s">
        <v>113</v>
      </c>
      <c r="AJ28" s="2">
        <v>65923.445999999996</v>
      </c>
      <c r="AK28" s="2">
        <v>48647.753333333334</v>
      </c>
      <c r="AL28" s="2"/>
      <c r="AM28" s="7">
        <v>46054</v>
      </c>
      <c r="AN28" s="2">
        <v>153178.23999999999</v>
      </c>
    </row>
    <row r="29" spans="1:40" x14ac:dyDescent="0.3">
      <c r="A29" t="s">
        <v>77</v>
      </c>
      <c r="B29" t="s">
        <v>30</v>
      </c>
      <c r="C29" s="2">
        <v>30000</v>
      </c>
      <c r="D29" s="2">
        <f>VLOOKUP($B29,'[1]MCC - OBRA'!$D$6:$V$918,11,0)</f>
        <v>0</v>
      </c>
      <c r="E29" s="2">
        <f>VLOOKUP($B29,'[1]MCC - OBRA'!$D$6:$V$918,12,0)</f>
        <v>0</v>
      </c>
      <c r="F29" s="2">
        <f>VLOOKUP($B29,'[1]MCC - OBRA'!$D$6:$V$918,13,0)</f>
        <v>0</v>
      </c>
      <c r="G29" s="2">
        <f>VLOOKUP($B29,'[1]MCC - OBRA'!$D$6:$V$918,14,0)</f>
        <v>0</v>
      </c>
      <c r="H29" s="2">
        <f>VLOOKUP($B29,'[1]MCC - OBRA'!$D$6:$V$918,15,0)</f>
        <v>0</v>
      </c>
      <c r="I29" s="2">
        <f>VLOOKUP($B29,'[1]MCC - OBRA'!$D$6:$V$918,17,0)</f>
        <v>30000</v>
      </c>
      <c r="J29" s="2">
        <f>VLOOKUP($B29,'[1]MCC - OBRA'!$D$6:$V$918,18,0)</f>
        <v>30000</v>
      </c>
      <c r="K29" s="2">
        <f>VLOOKUP($B29,'[1]MCC - OBRA'!$D$6:$V$918,19,0)</f>
        <v>0</v>
      </c>
      <c r="L29" s="2"/>
      <c r="M29" s="5">
        <f>[1]RESUMO!E38</f>
        <v>45444</v>
      </c>
      <c r="N29" s="2">
        <f>[1]RESUMO!F38</f>
        <v>374885.31</v>
      </c>
      <c r="O29" s="2">
        <f>[1]RESUMO!G38</f>
        <v>0</v>
      </c>
      <c r="P29" s="2">
        <f>[1]RESUMO!H38</f>
        <v>0</v>
      </c>
      <c r="Q29" s="2">
        <f>[1]RESUMO!I38</f>
        <v>0</v>
      </c>
      <c r="R29" s="2">
        <f>[1]RESUMO!J38</f>
        <v>374885.31</v>
      </c>
      <c r="Z29" s="13"/>
      <c r="AG29" s="4">
        <v>45931</v>
      </c>
      <c r="AH29" s="8">
        <v>1</v>
      </c>
      <c r="AI29" t="s">
        <v>86</v>
      </c>
      <c r="AJ29" s="6">
        <v>25199.405999999999</v>
      </c>
      <c r="AK29" s="2">
        <v>12331.507692307692</v>
      </c>
      <c r="AL29" s="2"/>
      <c r="AM29" s="4">
        <v>46082</v>
      </c>
      <c r="AN29" s="2">
        <v>156235.25</v>
      </c>
    </row>
    <row r="30" spans="1:40" x14ac:dyDescent="0.3">
      <c r="A30" t="s">
        <v>78</v>
      </c>
      <c r="B30" t="s">
        <v>31</v>
      </c>
      <c r="C30" s="2">
        <v>165650</v>
      </c>
      <c r="D30" s="2">
        <f>VLOOKUP($C30,'[1]MCC - OBRA'!$L$6:$V$918,3,0)</f>
        <v>0</v>
      </c>
      <c r="E30" s="2">
        <f>VLOOKUP($C30,'[1]MCC - OBRA'!$L$6:$V$918,4,0)</f>
        <v>0</v>
      </c>
      <c r="F30" s="2">
        <f>VLOOKUP($C30,'[1]MCC - OBRA'!$L$6:$V$918,5,0)</f>
        <v>0</v>
      </c>
      <c r="G30" s="2">
        <f>VLOOKUP($C30,'[1]MCC - OBRA'!$L$6:$V$918,6,0)</f>
        <v>0</v>
      </c>
      <c r="H30" s="2">
        <f>VLOOKUP($C30,'[1]MCC - OBRA'!$L$6:$V$918,7,0)</f>
        <v>0</v>
      </c>
      <c r="I30" s="2">
        <f>VLOOKUP($C30,'[1]MCC - OBRA'!$L$6:$V$918,9,0)</f>
        <v>165650</v>
      </c>
      <c r="J30" s="2">
        <f>VLOOKUP($C30,'[1]MCC - OBRA'!$L$6:$V$918,10,0)</f>
        <v>165650</v>
      </c>
      <c r="K30" s="2">
        <f>VLOOKUP($C30,'[1]MCC - OBRA'!$L$6:$V$918,11,0)</f>
        <v>0</v>
      </c>
      <c r="L30" s="2"/>
      <c r="M30" s="5">
        <f>[1]RESUMO!E39</f>
        <v>45474</v>
      </c>
      <c r="N30" s="2">
        <f>[1]RESUMO!F39</f>
        <v>515455.3299999999</v>
      </c>
      <c r="O30" s="2">
        <f>[1]RESUMO!G39</f>
        <v>0</v>
      </c>
      <c r="P30" s="2">
        <f>[1]RESUMO!H39</f>
        <v>0</v>
      </c>
      <c r="Q30" s="2">
        <f>[1]RESUMO!I39</f>
        <v>0</v>
      </c>
      <c r="R30" s="2">
        <f>[1]RESUMO!J39</f>
        <v>515455.3299999999</v>
      </c>
      <c r="AG30" s="4">
        <v>45931</v>
      </c>
      <c r="AH30" s="8">
        <v>1</v>
      </c>
      <c r="AI30" t="s">
        <v>115</v>
      </c>
      <c r="AJ30" s="6">
        <v>28998.7</v>
      </c>
      <c r="AK30" s="2">
        <v>23266.85</v>
      </c>
      <c r="AL30" s="2"/>
      <c r="AM30" s="4">
        <v>46113</v>
      </c>
      <c r="AN30" s="2">
        <v>125111.96</v>
      </c>
    </row>
    <row r="31" spans="1:40" x14ac:dyDescent="0.3">
      <c r="A31" t="s">
        <v>51</v>
      </c>
      <c r="B31" t="s">
        <v>40</v>
      </c>
      <c r="C31" s="2">
        <v>2391066</v>
      </c>
      <c r="D31" s="2">
        <f>VLOOKUP($B31,'[1]MCC - INCORPORAÇÃO'!$D$7:$V$49,11,0)</f>
        <v>1818331.6099999999</v>
      </c>
      <c r="E31" s="2">
        <f>VLOOKUP($B31,'[1]MCC - INCORPORAÇÃO'!$D$7:$V$49,12,0)</f>
        <v>0</v>
      </c>
      <c r="F31" s="2">
        <f>VLOOKUP($B31,'[1]MCC - INCORPORAÇÃO'!$D$7:$V$49,13,0)</f>
        <v>0</v>
      </c>
      <c r="G31" s="2">
        <f>VLOOKUP($B31,'[1]MCC - INCORPORAÇÃO'!$D$7:$V$49,14,0)</f>
        <v>0</v>
      </c>
      <c r="H31" s="2">
        <f>VLOOKUP($B31,'[1]MCC - INCORPORAÇÃO'!$D$7:$V$49,15,0)</f>
        <v>1818331.6099999999</v>
      </c>
      <c r="I31" s="2">
        <f>VLOOKUP($B31,'[1]MCC - INCORPORAÇÃO'!$D$7:$V$49,17,0)</f>
        <v>463433.42400000058</v>
      </c>
      <c r="J31" s="2">
        <f>VLOOKUP($B31,'[1]MCC - INCORPORAÇÃO'!$D$7:$V$49,18,0)</f>
        <v>2281765.0340000005</v>
      </c>
      <c r="K31" s="2">
        <f>VLOOKUP($B31,'[1]MCC - INCORPORAÇÃO'!$D$7:$V$49,19,0)</f>
        <v>109300.96599999955</v>
      </c>
      <c r="M31" s="5">
        <f>[1]RESUMO!E40</f>
        <v>45505</v>
      </c>
      <c r="N31" s="2">
        <f>[1]RESUMO!F40</f>
        <v>646432.1</v>
      </c>
      <c r="O31" s="2">
        <f>[1]RESUMO!G40</f>
        <v>0</v>
      </c>
      <c r="P31" s="2">
        <f>[1]RESUMO!H40</f>
        <v>0</v>
      </c>
      <c r="Q31" s="2">
        <f>[1]RESUMO!I40</f>
        <v>0</v>
      </c>
      <c r="R31" s="2">
        <f>[1]RESUMO!J40</f>
        <v>646432.1</v>
      </c>
      <c r="AG31" s="4">
        <v>45931</v>
      </c>
      <c r="AH31" s="8">
        <v>1</v>
      </c>
      <c r="AI31" t="s">
        <v>116</v>
      </c>
      <c r="AJ31" s="6">
        <v>28998.7</v>
      </c>
      <c r="AK31" s="2">
        <v>23266.85</v>
      </c>
      <c r="AM31" s="4">
        <v>46143</v>
      </c>
      <c r="AN31" s="2">
        <v>121077.74</v>
      </c>
    </row>
    <row r="32" spans="1:40" x14ac:dyDescent="0.3">
      <c r="A32" t="s">
        <v>43</v>
      </c>
      <c r="B32" t="s">
        <v>39</v>
      </c>
      <c r="C32" s="2">
        <v>6370000</v>
      </c>
      <c r="D32" s="2">
        <f>VLOOKUP($B32,'[1]MCC - INCORPORAÇÃO'!$D$7:$V$49,11,0)</f>
        <v>4458256.629999998</v>
      </c>
      <c r="E32" s="2">
        <f>VLOOKUP($B32,'[1]MCC - INCORPORAÇÃO'!$D$7:$V$49,12,0)</f>
        <v>96431.510000000009</v>
      </c>
      <c r="F32" s="2">
        <f>VLOOKUP($B32,'[1]MCC - INCORPORAÇÃO'!$D$7:$V$49,13,0)</f>
        <v>71973.159999999974</v>
      </c>
      <c r="G32" s="2">
        <f>VLOOKUP($B32,'[1]MCC - INCORPORAÇÃO'!$D$7:$V$49,14,0)</f>
        <v>0</v>
      </c>
      <c r="H32" s="2">
        <f>VLOOKUP($B32,'[1]MCC - INCORPORAÇÃO'!$D$7:$V$49,15,0)</f>
        <v>4626661.299999998</v>
      </c>
      <c r="I32" s="2">
        <f>VLOOKUP($B32,'[1]MCC - INCORPORAÇÃO'!$D$7:$V$49,17,0)</f>
        <v>3113420.4900000007</v>
      </c>
      <c r="J32" s="2">
        <f>VLOOKUP($B32,'[1]MCC - INCORPORAÇÃO'!$D$7:$V$49,18,0)</f>
        <v>7740081.7899999991</v>
      </c>
      <c r="K32" s="2">
        <f>VLOOKUP($B32,'[1]MCC - INCORPORAÇÃO'!$D$7:$V$49,19,0)</f>
        <v>-1370081.7899999991</v>
      </c>
      <c r="M32" s="5">
        <f>[1]RESUMO!E41</f>
        <v>45536</v>
      </c>
      <c r="N32" s="2">
        <f>[1]RESUMO!F41</f>
        <v>793175.64000000013</v>
      </c>
      <c r="O32" s="2">
        <f>[1]RESUMO!G41</f>
        <v>0</v>
      </c>
      <c r="P32" s="2">
        <f>[1]RESUMO!H41</f>
        <v>0</v>
      </c>
      <c r="Q32" s="2">
        <f>[1]RESUMO!I41</f>
        <v>0</v>
      </c>
      <c r="R32" s="2">
        <f>[1]RESUMO!J41</f>
        <v>793175.64000000013</v>
      </c>
      <c r="AG32" s="4">
        <v>45931</v>
      </c>
      <c r="AH32" s="8">
        <v>1</v>
      </c>
      <c r="AI32" t="s">
        <v>117</v>
      </c>
      <c r="AJ32" s="6">
        <v>18256.32</v>
      </c>
      <c r="AK32" s="2">
        <v>8288.9500000000007</v>
      </c>
      <c r="AM32" s="4">
        <v>46174</v>
      </c>
      <c r="AN32" s="2">
        <v>352319.42</v>
      </c>
    </row>
    <row r="33" spans="1:40" x14ac:dyDescent="0.3">
      <c r="A33" t="s">
        <v>44</v>
      </c>
      <c r="B33" t="s">
        <v>41</v>
      </c>
      <c r="C33" s="2">
        <v>14972.789999999999</v>
      </c>
      <c r="D33" s="2">
        <f>VLOOKUP($B33,'[1]MCC - INCORPORAÇÃO'!$D$7:$V$49,11,0)</f>
        <v>14972.789999999999</v>
      </c>
      <c r="E33" s="2">
        <f>VLOOKUP($B33,'[1]MCC - INCORPORAÇÃO'!$D$7:$V$49,12,0)</f>
        <v>0</v>
      </c>
      <c r="F33" s="2">
        <f>VLOOKUP($B33,'[1]MCC - INCORPORAÇÃO'!$D$7:$V$49,13,0)</f>
        <v>0</v>
      </c>
      <c r="G33" s="2">
        <f>VLOOKUP($B33,'[1]MCC - INCORPORAÇÃO'!$D$7:$V$49,14,0)</f>
        <v>0</v>
      </c>
      <c r="H33" s="2">
        <f>VLOOKUP($B33,'[1]MCC - INCORPORAÇÃO'!$D$7:$V$49,15,0)</f>
        <v>14972.789999999999</v>
      </c>
      <c r="I33" s="2">
        <f>VLOOKUP($B33,'[1]MCC - INCORPORAÇÃO'!$D$7:$V$49,17,0)</f>
        <v>0</v>
      </c>
      <c r="J33" s="2">
        <f>VLOOKUP($B33,'[1]MCC - INCORPORAÇÃO'!$D$7:$V$49,18,0)</f>
        <v>14972.789999999999</v>
      </c>
      <c r="K33" s="2">
        <f>VLOOKUP($B33,'[1]MCC - INCORPORAÇÃO'!$D$7:$V$49,19,0)</f>
        <v>-14972.789999999999</v>
      </c>
      <c r="M33" s="5">
        <f>[1]RESUMO!E42</f>
        <v>45566</v>
      </c>
      <c r="N33" s="2">
        <f>[1]RESUMO!F42</f>
        <v>678374.87000000034</v>
      </c>
      <c r="O33" s="2">
        <f>[1]RESUMO!G42</f>
        <v>0</v>
      </c>
      <c r="P33" s="2">
        <f>[1]RESUMO!H42</f>
        <v>0</v>
      </c>
      <c r="Q33" s="2">
        <f>[1]RESUMO!I42</f>
        <v>0</v>
      </c>
      <c r="R33" s="2">
        <f>[1]RESUMO!J42</f>
        <v>678374.87000000034</v>
      </c>
      <c r="AG33" s="4">
        <v>45962</v>
      </c>
      <c r="AH33" s="8">
        <v>1</v>
      </c>
      <c r="AI33" t="s">
        <v>118</v>
      </c>
      <c r="AJ33" s="2">
        <v>18256.32</v>
      </c>
      <c r="AK33" s="2">
        <v>4004.75</v>
      </c>
      <c r="AM33" s="4">
        <v>46204</v>
      </c>
      <c r="AN33" s="2">
        <v>130276.66000000003</v>
      </c>
    </row>
    <row r="34" spans="1:40" x14ac:dyDescent="0.3">
      <c r="A34" t="s">
        <v>45</v>
      </c>
      <c r="B34" t="s">
        <v>42</v>
      </c>
      <c r="C34" s="2">
        <v>0</v>
      </c>
      <c r="D34" s="2">
        <f>VLOOKUP($B34,'[1]MCC - INCORPORAÇÃO'!$D$7:$V$49,11,0)</f>
        <v>2043120.41</v>
      </c>
      <c r="E34" s="2">
        <f>VLOOKUP($B34,'[1]MCC - INCORPORAÇÃO'!$D$7:$V$49,12,0)</f>
        <v>0</v>
      </c>
      <c r="F34" s="2">
        <f>VLOOKUP($B34,'[1]MCC - INCORPORAÇÃO'!$D$7:$V$49,13,0)</f>
        <v>0</v>
      </c>
      <c r="G34" s="2">
        <f>VLOOKUP($B34,'[1]MCC - INCORPORAÇÃO'!$D$7:$V$49,14,0)</f>
        <v>0</v>
      </c>
      <c r="H34" s="2">
        <f>VLOOKUP($B34,'[1]MCC - INCORPORAÇÃO'!$D$7:$V$49,15,0)</f>
        <v>2043120.41</v>
      </c>
      <c r="I34" s="2">
        <f>VLOOKUP($B34,'[1]MCC - INCORPORAÇÃO'!$D$7:$V$49,17,0)</f>
        <v>-2042368.69</v>
      </c>
      <c r="J34" s="2">
        <f>VLOOKUP($B34,'[1]MCC - INCORPORAÇÃO'!$D$7:$V$49,18,0)</f>
        <v>751.71999999997206</v>
      </c>
      <c r="K34" s="2">
        <f>VLOOKUP($B34,'[1]MCC - INCORPORAÇÃO'!$D$7:$V$49,19,0)</f>
        <v>-751.71999999997206</v>
      </c>
      <c r="M34" s="5">
        <f>[1]RESUMO!E43</f>
        <v>45597</v>
      </c>
      <c r="N34" s="2">
        <f>[1]RESUMO!F43</f>
        <v>515716.28000000009</v>
      </c>
      <c r="O34" s="2">
        <f>[1]RESUMO!G43</f>
        <v>0</v>
      </c>
      <c r="P34" s="2">
        <f>[1]RESUMO!H43</f>
        <v>0</v>
      </c>
      <c r="Q34" s="2">
        <f>[1]RESUMO!I43</f>
        <v>0</v>
      </c>
      <c r="R34" s="2">
        <f>[1]RESUMO!J43</f>
        <v>515716.28000000009</v>
      </c>
      <c r="AG34" s="4">
        <v>45962</v>
      </c>
      <c r="AH34" s="8">
        <v>1</v>
      </c>
      <c r="AI34" t="s">
        <v>119</v>
      </c>
      <c r="AJ34" s="2">
        <v>28998.7</v>
      </c>
      <c r="AK34" s="2">
        <v>23400.240000000002</v>
      </c>
      <c r="AM34" s="4">
        <v>46235</v>
      </c>
      <c r="AN34" s="2">
        <v>163327.64000000001</v>
      </c>
    </row>
    <row r="35" spans="1:40" x14ac:dyDescent="0.3">
      <c r="B35" t="s">
        <v>52</v>
      </c>
      <c r="C35" s="3"/>
      <c r="D35" s="3"/>
      <c r="E35" s="3"/>
      <c r="F35" s="3"/>
      <c r="G35" s="3"/>
      <c r="H35" s="3"/>
      <c r="I35" s="3"/>
      <c r="J35" s="3"/>
      <c r="K35" s="3"/>
      <c r="M35" s="5">
        <f>[1]RESUMO!E44</f>
        <v>45627</v>
      </c>
      <c r="N35" s="2">
        <f>[1]RESUMO!F44</f>
        <v>590926.61999999988</v>
      </c>
      <c r="O35" s="2">
        <f>[1]RESUMO!G44</f>
        <v>0</v>
      </c>
      <c r="P35" s="2">
        <f>[1]RESUMO!H44</f>
        <v>0</v>
      </c>
      <c r="Q35" s="2">
        <f>[1]RESUMO!I44</f>
        <v>0</v>
      </c>
      <c r="R35" s="2">
        <f>[1]RESUMO!J44</f>
        <v>590926.61999999988</v>
      </c>
      <c r="AG35" s="4">
        <v>45962</v>
      </c>
      <c r="AH35" s="8">
        <v>1</v>
      </c>
      <c r="AI35" t="s">
        <v>120</v>
      </c>
      <c r="AJ35" s="2">
        <v>28998.7</v>
      </c>
      <c r="AK35" s="2">
        <v>20347.509999999998</v>
      </c>
    </row>
    <row r="36" spans="1:40" x14ac:dyDescent="0.3">
      <c r="M36" s="5">
        <f>[1]RESUMO!E45</f>
        <v>45658</v>
      </c>
      <c r="N36" s="2">
        <f>[1]RESUMO!F45</f>
        <v>568638.25999999978</v>
      </c>
      <c r="O36" s="2">
        <f>[1]RESUMO!G45</f>
        <v>0</v>
      </c>
      <c r="P36" s="2">
        <f>[1]RESUMO!H45</f>
        <v>0</v>
      </c>
      <c r="Q36" s="2">
        <f>[1]RESUMO!I45</f>
        <v>0</v>
      </c>
      <c r="R36" s="2">
        <f>[1]RESUMO!J45</f>
        <v>568638.25999999978</v>
      </c>
      <c r="AG36" s="4">
        <v>45962</v>
      </c>
      <c r="AH36" s="8">
        <v>1</v>
      </c>
      <c r="AI36" t="s">
        <v>121</v>
      </c>
      <c r="AJ36" s="2">
        <v>28998.7</v>
      </c>
      <c r="AK36" s="2">
        <v>20347.509999999998</v>
      </c>
    </row>
    <row r="37" spans="1:40" x14ac:dyDescent="0.3">
      <c r="M37" s="5">
        <f>[1]RESUMO!E46</f>
        <v>45689</v>
      </c>
      <c r="N37" s="2">
        <f>[1]RESUMO!F46</f>
        <v>585616.60000000021</v>
      </c>
      <c r="O37" s="2">
        <f>[1]RESUMO!G46</f>
        <v>0</v>
      </c>
      <c r="P37" s="2">
        <f>[1]RESUMO!H46</f>
        <v>0</v>
      </c>
      <c r="Q37" s="2">
        <f>[1]RESUMO!I46</f>
        <v>0</v>
      </c>
      <c r="R37" s="2">
        <f>[1]RESUMO!J46</f>
        <v>585616.60000000021</v>
      </c>
      <c r="AG37" s="4">
        <v>45962</v>
      </c>
      <c r="AH37" s="8">
        <v>1</v>
      </c>
      <c r="AI37" t="s">
        <v>122</v>
      </c>
      <c r="AJ37" s="2">
        <v>28998.7</v>
      </c>
      <c r="AK37" s="2">
        <v>20347.509999999998</v>
      </c>
    </row>
    <row r="38" spans="1:40" x14ac:dyDescent="0.3">
      <c r="M38" s="5">
        <f>[1]RESUMO!E47</f>
        <v>45717</v>
      </c>
      <c r="N38" s="2">
        <f>[1]RESUMO!F47</f>
        <v>858980.62999999989</v>
      </c>
      <c r="O38" s="2">
        <f>[1]RESUMO!G47</f>
        <v>0</v>
      </c>
      <c r="P38" s="2">
        <f>[1]RESUMO!H47</f>
        <v>0</v>
      </c>
      <c r="Q38" s="2">
        <f>[1]RESUMO!I47</f>
        <v>0</v>
      </c>
      <c r="R38" s="2">
        <f>[1]RESUMO!J47</f>
        <v>858980.62999999989</v>
      </c>
      <c r="AG38" s="4">
        <v>45962</v>
      </c>
      <c r="AH38" s="8">
        <v>1</v>
      </c>
      <c r="AI38" t="s">
        <v>123</v>
      </c>
      <c r="AJ38" s="2">
        <v>28998.7</v>
      </c>
      <c r="AK38" s="2">
        <v>20347.509999999998</v>
      </c>
    </row>
    <row r="39" spans="1:40" x14ac:dyDescent="0.3">
      <c r="M39" s="5">
        <f>[1]RESUMO!E48</f>
        <v>45748</v>
      </c>
      <c r="N39" s="2">
        <f>[1]RESUMO!F48</f>
        <v>564642.35999999952</v>
      </c>
      <c r="O39" s="2">
        <f>[1]RESUMO!G48</f>
        <v>0</v>
      </c>
      <c r="P39" s="2">
        <f>[1]RESUMO!H48</f>
        <v>0</v>
      </c>
      <c r="Q39" s="2">
        <f>[1]RESUMO!I48</f>
        <v>0</v>
      </c>
      <c r="R39" s="2">
        <f>[1]RESUMO!J48</f>
        <v>564642.35999999952</v>
      </c>
      <c r="AG39" s="4">
        <v>45962</v>
      </c>
      <c r="AH39" s="8">
        <v>1</v>
      </c>
      <c r="AI39" t="s">
        <v>86</v>
      </c>
      <c r="AJ39" s="2">
        <v>25199.405999999999</v>
      </c>
      <c r="AK39" s="2">
        <f>184602.16/14</f>
        <v>13185.868571428571</v>
      </c>
    </row>
    <row r="40" spans="1:40" x14ac:dyDescent="0.3">
      <c r="M40" s="5">
        <f>[1]RESUMO!E49</f>
        <v>45778</v>
      </c>
      <c r="N40" s="2">
        <f>[1]RESUMO!F49</f>
        <v>649919.74000000011</v>
      </c>
      <c r="O40" s="2">
        <f>[1]RESUMO!G49</f>
        <v>0</v>
      </c>
      <c r="P40" s="2">
        <f>[1]RESUMO!H49</f>
        <v>0</v>
      </c>
      <c r="Q40" s="2">
        <f>[1]RESUMO!I49</f>
        <v>0</v>
      </c>
      <c r="R40" s="2">
        <f>[1]RESUMO!J49</f>
        <v>649919.74000000011</v>
      </c>
      <c r="AG40" s="4">
        <v>45962</v>
      </c>
      <c r="AH40" s="8">
        <v>1</v>
      </c>
      <c r="AI40" t="s">
        <v>124</v>
      </c>
      <c r="AJ40" s="2">
        <v>174607.98</v>
      </c>
      <c r="AK40" s="2">
        <v>229819.83</v>
      </c>
    </row>
    <row r="41" spans="1:40" x14ac:dyDescent="0.3">
      <c r="M41" s="5">
        <f>[1]RESUMO!E50</f>
        <v>45809</v>
      </c>
      <c r="N41" s="2">
        <f>[1]RESUMO!F50</f>
        <v>844114.25999999989</v>
      </c>
      <c r="O41" s="2">
        <f>[1]RESUMO!G50</f>
        <v>0</v>
      </c>
      <c r="P41" s="2">
        <f>[1]RESUMO!H50</f>
        <v>0</v>
      </c>
      <c r="Q41" s="2">
        <f>[1]RESUMO!I50</f>
        <v>0</v>
      </c>
      <c r="R41" s="2">
        <f>[1]RESUMO!J50</f>
        <v>844114.25999999989</v>
      </c>
      <c r="AG41" s="4">
        <v>45962</v>
      </c>
      <c r="AH41" s="8">
        <v>1</v>
      </c>
      <c r="AI41" t="s">
        <v>125</v>
      </c>
      <c r="AJ41" s="2">
        <v>6513.92</v>
      </c>
      <c r="AK41" s="2">
        <v>5356.4699999999993</v>
      </c>
    </row>
    <row r="42" spans="1:40" x14ac:dyDescent="0.3">
      <c r="M42" s="5">
        <f>[1]RESUMO!E51</f>
        <v>45839</v>
      </c>
      <c r="N42" s="9">
        <f>[1]RESUMO!F51</f>
        <v>819337.64999999898</v>
      </c>
      <c r="O42" s="2">
        <f>[1]RESUMO!G51</f>
        <v>0</v>
      </c>
      <c r="P42" s="2">
        <f>[1]RESUMO!H51</f>
        <v>0</v>
      </c>
      <c r="Q42" s="2">
        <f>[1]RESUMO!I51</f>
        <v>0</v>
      </c>
      <c r="R42" s="2">
        <f>[1]RESUMO!J51</f>
        <v>819337.64999999898</v>
      </c>
      <c r="AG42" s="4">
        <v>45962</v>
      </c>
      <c r="AH42" s="8">
        <v>1</v>
      </c>
      <c r="AI42" t="s">
        <v>126</v>
      </c>
      <c r="AJ42" s="2">
        <v>65923.445999999996</v>
      </c>
      <c r="AK42" s="2">
        <f>292989.54/7</f>
        <v>41855.648571428566</v>
      </c>
    </row>
    <row r="43" spans="1:40" x14ac:dyDescent="0.3">
      <c r="M43" s="5">
        <f>[1]RESUMO!E52</f>
        <v>45870</v>
      </c>
      <c r="N43" s="2">
        <f>[1]RESUMO!F52</f>
        <v>1059435.6399999992</v>
      </c>
      <c r="O43" s="2">
        <f>[1]RESUMO!G52</f>
        <v>0</v>
      </c>
      <c r="P43" s="2">
        <f>[1]RESUMO!H52</f>
        <v>0</v>
      </c>
      <c r="Q43" s="2">
        <f>[1]RESUMO!I52</f>
        <v>0</v>
      </c>
      <c r="R43" s="2">
        <f>[1]RESUMO!J52</f>
        <v>1059435.6399999992</v>
      </c>
      <c r="S43" s="3"/>
      <c r="AG43" s="4">
        <v>46023</v>
      </c>
      <c r="AH43" s="8">
        <v>1</v>
      </c>
      <c r="AI43" t="s">
        <v>127</v>
      </c>
      <c r="AJ43" s="2">
        <v>65923.445999999996</v>
      </c>
      <c r="AK43" s="2">
        <v>37904.093000000001</v>
      </c>
    </row>
    <row r="44" spans="1:40" x14ac:dyDescent="0.3">
      <c r="D44" s="11"/>
      <c r="M44" s="5">
        <f>[1]RESUMO!E53</f>
        <v>45901</v>
      </c>
      <c r="N44" s="9">
        <f>[1]RESUMO!F53</f>
        <v>1142428.5000000014</v>
      </c>
      <c r="O44" s="9">
        <f>[1]RESUMO!G53</f>
        <v>0</v>
      </c>
      <c r="P44" s="9">
        <f>[1]RESUMO!H53</f>
        <v>0</v>
      </c>
      <c r="Q44" s="9">
        <f>[1]RESUMO!I53</f>
        <v>0</v>
      </c>
      <c r="R44" s="2">
        <f>[1]RESUMO!J53</f>
        <v>1142428.5000000014</v>
      </c>
      <c r="AG44" s="4">
        <v>46023</v>
      </c>
      <c r="AH44" s="8">
        <v>1</v>
      </c>
      <c r="AI44" t="s">
        <v>128</v>
      </c>
      <c r="AJ44" s="2">
        <v>65923.445999999996</v>
      </c>
      <c r="AK44" s="2">
        <v>37904.093000000001</v>
      </c>
    </row>
    <row r="45" spans="1:40" x14ac:dyDescent="0.3">
      <c r="M45" s="5">
        <f>[1]RESUMO!E54</f>
        <v>45931</v>
      </c>
      <c r="N45" s="9">
        <f>[1]RESUMO!F54</f>
        <v>1226706.6200000006</v>
      </c>
      <c r="O45" s="9">
        <f>[1]RESUMO!G54</f>
        <v>0</v>
      </c>
      <c r="P45" s="9">
        <f>[1]RESUMO!H54</f>
        <v>0</v>
      </c>
      <c r="Q45" s="9">
        <f>[1]RESUMO!I54</f>
        <v>0</v>
      </c>
      <c r="R45" s="2">
        <f>[1]RESUMO!J54</f>
        <v>1226706.6200000006</v>
      </c>
      <c r="AG45" s="4">
        <v>46023</v>
      </c>
      <c r="AH45" s="8">
        <v>1</v>
      </c>
      <c r="AI45" t="s">
        <v>129</v>
      </c>
      <c r="AJ45" s="2">
        <v>65923.445999999996</v>
      </c>
      <c r="AK45" s="2">
        <v>37904.093000000001</v>
      </c>
    </row>
    <row r="46" spans="1:40" x14ac:dyDescent="0.3">
      <c r="M46" s="5">
        <f>[1]RESUMO!E55</f>
        <v>45962</v>
      </c>
      <c r="N46" s="9">
        <f>[1]RESUMO!F55</f>
        <v>1117139.5399999991</v>
      </c>
      <c r="O46" s="9">
        <f>[1]RESUMO!G55</f>
        <v>0</v>
      </c>
      <c r="P46" s="9">
        <f>[1]RESUMO!H55</f>
        <v>0</v>
      </c>
      <c r="Q46" s="9">
        <f>[1]RESUMO!I55</f>
        <v>0</v>
      </c>
      <c r="R46" s="2">
        <f>[1]RESUMO!J55</f>
        <v>1117139.5399999991</v>
      </c>
      <c r="AG46" s="4">
        <v>46023</v>
      </c>
      <c r="AH46" s="8">
        <v>1</v>
      </c>
      <c r="AI46" t="s">
        <v>130</v>
      </c>
      <c r="AJ46" s="6">
        <f>41262.38+2277.21066666666+43725.72</f>
        <v>87265.310666666657</v>
      </c>
      <c r="AK46" s="2">
        <v>60149.840000000011</v>
      </c>
      <c r="AN46" s="3"/>
    </row>
    <row r="47" spans="1:40" x14ac:dyDescent="0.3">
      <c r="M47" s="5">
        <f>[1]RESUMO!E56</f>
        <v>45992</v>
      </c>
      <c r="N47" s="9">
        <f>[1]RESUMO!F56</f>
        <v>1282301.9500000039</v>
      </c>
      <c r="O47" s="9">
        <f>[1]RESUMO!G56</f>
        <v>0</v>
      </c>
      <c r="P47" s="9">
        <f>[1]RESUMO!H56</f>
        <v>0</v>
      </c>
      <c r="Q47" s="9">
        <f>[1]RESUMO!I56</f>
        <v>0</v>
      </c>
      <c r="R47" s="2">
        <f>[1]RESUMO!J56</f>
        <v>1282301.9500000039</v>
      </c>
      <c r="AG47" s="4">
        <v>46023</v>
      </c>
      <c r="AH47" s="8">
        <v>1</v>
      </c>
      <c r="AI47" t="s">
        <v>131</v>
      </c>
      <c r="AJ47" s="6">
        <f>41262.38+2277.21066666666+43725.72</f>
        <v>87265.310666666657</v>
      </c>
      <c r="AK47" s="2">
        <v>55694.559999999998</v>
      </c>
      <c r="AN47" s="3"/>
    </row>
    <row r="48" spans="1:40" x14ac:dyDescent="0.3">
      <c r="M48" s="5">
        <f>[1]RESUMO!E57</f>
        <v>46023</v>
      </c>
      <c r="N48" s="9">
        <f>[1]RESUMO!F57</f>
        <v>863349.51000000106</v>
      </c>
      <c r="O48" s="9">
        <f>[1]RESUMO!G57</f>
        <v>0</v>
      </c>
      <c r="P48" s="9">
        <f>[1]RESUMO!H57</f>
        <v>0</v>
      </c>
      <c r="Q48" s="9">
        <f>[1]RESUMO!I57</f>
        <v>0</v>
      </c>
      <c r="R48" s="2">
        <f>[1]RESUMO!J57</f>
        <v>863349.51000000106</v>
      </c>
      <c r="AG48" s="4">
        <v>46023</v>
      </c>
      <c r="AH48" s="8">
        <v>1</v>
      </c>
      <c r="AI48" t="s">
        <v>139</v>
      </c>
      <c r="AJ48" s="6">
        <v>3989.23</v>
      </c>
      <c r="AK48" s="2">
        <v>3984.22</v>
      </c>
    </row>
    <row r="49" spans="13:38" x14ac:dyDescent="0.3">
      <c r="M49" s="5">
        <f>[1]RESUMO!E58</f>
        <v>46054</v>
      </c>
      <c r="N49" s="9">
        <f>[1]RESUMO!F58</f>
        <v>897403.9700000009</v>
      </c>
      <c r="O49" s="9">
        <f>[1]RESUMO!G58</f>
        <v>0</v>
      </c>
      <c r="P49" s="9">
        <f>[1]RESUMO!H58</f>
        <v>0</v>
      </c>
      <c r="Q49" s="9">
        <f>[1]RESUMO!I58</f>
        <v>0</v>
      </c>
      <c r="R49" s="2">
        <f>[1]RESUMO!J58</f>
        <v>897403.9700000009</v>
      </c>
      <c r="AG49" s="4">
        <v>46023</v>
      </c>
      <c r="AH49" s="8">
        <v>1</v>
      </c>
      <c r="AI49" t="s">
        <v>140</v>
      </c>
      <c r="AJ49" s="6">
        <v>3989.23</v>
      </c>
      <c r="AK49" s="2">
        <v>2200.71</v>
      </c>
    </row>
    <row r="50" spans="13:38" x14ac:dyDescent="0.3">
      <c r="M50" s="5">
        <f>[1]RESUMO!E59</f>
        <v>46082</v>
      </c>
      <c r="N50" s="9">
        <f>[1]RESUMO!F59</f>
        <v>1009458.4400000002</v>
      </c>
      <c r="O50" s="9">
        <f>[1]RESUMO!G59</f>
        <v>0</v>
      </c>
      <c r="P50" s="9">
        <f>[1]RESUMO!H59</f>
        <v>0</v>
      </c>
      <c r="Q50" s="9">
        <f>[1]RESUMO!I59</f>
        <v>0</v>
      </c>
      <c r="R50" s="2">
        <f>[1]RESUMO!J59</f>
        <v>1009458.4400000002</v>
      </c>
      <c r="AG50" s="4">
        <v>46023</v>
      </c>
      <c r="AH50" s="8">
        <v>1</v>
      </c>
      <c r="AI50" t="s">
        <v>132</v>
      </c>
      <c r="AJ50" s="2">
        <v>9402.2199999999993</v>
      </c>
      <c r="AK50" s="2">
        <v>4099.1000000000004</v>
      </c>
    </row>
    <row r="51" spans="13:38" x14ac:dyDescent="0.3">
      <c r="M51" s="5">
        <f>[1]RESUMO!E60</f>
        <v>46113</v>
      </c>
      <c r="N51" s="9">
        <f>[1]RESUMO!F60</f>
        <v>883289.21000000031</v>
      </c>
      <c r="O51" s="9">
        <f>[1]RESUMO!G60</f>
        <v>0</v>
      </c>
      <c r="P51" s="9">
        <f>[1]RESUMO!H60</f>
        <v>0</v>
      </c>
      <c r="Q51" s="9">
        <f>[1]RESUMO!I60</f>
        <v>0</v>
      </c>
      <c r="R51" s="2">
        <f>[1]RESUMO!J60</f>
        <v>883289.21000000031</v>
      </c>
      <c r="AG51" s="4">
        <v>46023</v>
      </c>
      <c r="AH51" s="8">
        <v>1</v>
      </c>
      <c r="AI51" t="s">
        <v>133</v>
      </c>
      <c r="AJ51" s="2">
        <v>9402.2199999999993</v>
      </c>
      <c r="AK51" s="2">
        <v>4031.2</v>
      </c>
    </row>
    <row r="52" spans="13:38" x14ac:dyDescent="0.3">
      <c r="M52" s="5">
        <f>[1]RESUMO!E61</f>
        <v>46143</v>
      </c>
      <c r="N52" s="9">
        <f>[1]RESUMO!F61</f>
        <v>1089938.74</v>
      </c>
      <c r="O52" s="9">
        <f>[1]RESUMO!G61</f>
        <v>0</v>
      </c>
      <c r="P52" s="9">
        <f>[1]RESUMO!H61</f>
        <v>0</v>
      </c>
      <c r="Q52" s="9">
        <f>[1]RESUMO!I61</f>
        <v>0</v>
      </c>
      <c r="R52" s="2">
        <f>[1]RESUMO!J61</f>
        <v>1089938.74</v>
      </c>
      <c r="AG52" s="4">
        <v>46023</v>
      </c>
      <c r="AH52" s="8">
        <v>1</v>
      </c>
      <c r="AI52" t="s">
        <v>134</v>
      </c>
      <c r="AJ52" s="2">
        <v>28998.7</v>
      </c>
      <c r="AK52" s="2">
        <v>24183.64</v>
      </c>
    </row>
    <row r="53" spans="13:38" x14ac:dyDescent="0.3">
      <c r="M53" s="5">
        <f>[1]RESUMO!E62</f>
        <v>46174</v>
      </c>
      <c r="N53" s="9">
        <f>[1]RESUMO!F62</f>
        <v>1161053.5500000005</v>
      </c>
      <c r="O53" s="9">
        <f>[1]RESUMO!G62</f>
        <v>0</v>
      </c>
      <c r="P53" s="9">
        <f>[1]RESUMO!H62</f>
        <v>0</v>
      </c>
      <c r="Q53" s="9">
        <f>[1]RESUMO!I62</f>
        <v>0</v>
      </c>
      <c r="R53" s="2">
        <f>[1]RESUMO!J62</f>
        <v>1161053.5500000005</v>
      </c>
      <c r="AG53" s="4">
        <v>46023</v>
      </c>
      <c r="AH53" s="8">
        <v>1</v>
      </c>
      <c r="AI53" t="s">
        <v>135</v>
      </c>
      <c r="AJ53" s="2">
        <v>28998.7</v>
      </c>
      <c r="AK53" s="2">
        <v>23088.99</v>
      </c>
    </row>
    <row r="54" spans="13:38" x14ac:dyDescent="0.3">
      <c r="M54" s="5">
        <f>[1]RESUMO!E63</f>
        <v>46204</v>
      </c>
      <c r="N54" s="9">
        <f>[1]RESUMO!F63</f>
        <v>1509180.4900000002</v>
      </c>
      <c r="O54" s="9">
        <f>[1]RESUMO!G63</f>
        <v>0</v>
      </c>
      <c r="P54" s="9">
        <f>[1]RESUMO!H63</f>
        <v>0</v>
      </c>
      <c r="Q54" s="9">
        <f>[1]RESUMO!I63</f>
        <v>0</v>
      </c>
      <c r="R54" s="2">
        <f>[1]RESUMO!J63</f>
        <v>1509180.4900000002</v>
      </c>
      <c r="AG54" s="4">
        <v>46023</v>
      </c>
      <c r="AH54" s="8">
        <v>1</v>
      </c>
      <c r="AI54" t="s">
        <v>136</v>
      </c>
      <c r="AJ54" s="2">
        <v>8466.6290000000008</v>
      </c>
      <c r="AK54" s="2">
        <v>1145.5866666666668</v>
      </c>
      <c r="AL54" s="11"/>
    </row>
    <row r="55" spans="13:38" x14ac:dyDescent="0.3">
      <c r="M55" s="5">
        <f>[1]RESUMO!E64</f>
        <v>46235</v>
      </c>
      <c r="N55" s="9">
        <f>[1]RESUMO!F64</f>
        <v>1446362.6999999979</v>
      </c>
      <c r="O55" s="9">
        <f>[1]RESUMO!G64</f>
        <v>0</v>
      </c>
      <c r="P55" s="9">
        <f>[1]RESUMO!H64</f>
        <v>11333.33</v>
      </c>
      <c r="Q55" s="9">
        <f>[1]RESUMO!I64</f>
        <v>0</v>
      </c>
      <c r="R55" s="2">
        <f>[1]RESUMO!J64</f>
        <v>1457696.0299999979</v>
      </c>
      <c r="AG55" s="4">
        <v>46023</v>
      </c>
      <c r="AH55" s="8">
        <v>1</v>
      </c>
      <c r="AI55" t="s">
        <v>137</v>
      </c>
      <c r="AJ55" s="2">
        <v>8466.6290000000008</v>
      </c>
      <c r="AK55" s="2">
        <v>1145.5866666666668</v>
      </c>
    </row>
    <row r="56" spans="13:38" x14ac:dyDescent="0.3">
      <c r="M56" s="5">
        <f>[1]RESUMO!E65</f>
        <v>46266</v>
      </c>
      <c r="N56" s="9">
        <f>[1]RESUMO!F65</f>
        <v>0</v>
      </c>
      <c r="O56" s="9">
        <f>[1]RESUMO!G65</f>
        <v>392909.62000000005</v>
      </c>
      <c r="P56" s="9">
        <f>[1]RESUMO!H65</f>
        <v>143976.28999999998</v>
      </c>
      <c r="Q56" s="9">
        <f>[1]RESUMO!I65</f>
        <v>13962.84</v>
      </c>
      <c r="R56" s="2">
        <f>[1]RESUMO!J65</f>
        <v>550848.75000000035</v>
      </c>
      <c r="AG56" s="4">
        <v>46023</v>
      </c>
      <c r="AH56" s="8">
        <v>1</v>
      </c>
      <c r="AI56" t="s">
        <v>138</v>
      </c>
      <c r="AJ56" s="2">
        <v>8466.6290000000008</v>
      </c>
      <c r="AK56" s="2">
        <v>1145.5866666666668</v>
      </c>
    </row>
    <row r="57" spans="13:38" x14ac:dyDescent="0.3">
      <c r="M57" s="5">
        <f>[1]RESUMO!E66</f>
        <v>46296</v>
      </c>
      <c r="N57" s="9">
        <f>[1]RESUMO!F66</f>
        <v>0</v>
      </c>
      <c r="O57" s="9">
        <f>[1]RESUMO!G66</f>
        <v>37302.500000000007</v>
      </c>
      <c r="P57" s="9">
        <f>[1]RESUMO!H66</f>
        <v>201573.16</v>
      </c>
      <c r="Q57" s="9">
        <f>[1]RESUMO!I66</f>
        <v>12533.44</v>
      </c>
      <c r="R57" s="2">
        <f>[1]RESUMO!J66</f>
        <v>251409.09999999974</v>
      </c>
      <c r="AG57" s="4"/>
      <c r="AH57" s="8"/>
    </row>
    <row r="58" spans="13:38" x14ac:dyDescent="0.3">
      <c r="M58" s="5">
        <f>[1]RESUMO!E67</f>
        <v>46327</v>
      </c>
      <c r="N58" s="9">
        <f>[1]RESUMO!F67</f>
        <v>0</v>
      </c>
      <c r="O58" s="9">
        <f>[1]RESUMO!G67</f>
        <v>18896.22</v>
      </c>
      <c r="P58" s="9">
        <f>[1]RESUMO!H67</f>
        <v>462662.68000000011</v>
      </c>
      <c r="Q58" s="9">
        <f>[1]RESUMO!I67</f>
        <v>45025.200000000019</v>
      </c>
      <c r="R58" s="2">
        <f>[1]RESUMO!J67</f>
        <v>526584.09999999986</v>
      </c>
      <c r="AG58" s="4"/>
    </row>
    <row r="59" spans="13:38" x14ac:dyDescent="0.3">
      <c r="M59" s="5">
        <f>[1]RESUMO!E68</f>
        <v>46357</v>
      </c>
      <c r="N59" s="9">
        <f>[1]RESUMO!F68</f>
        <v>0</v>
      </c>
      <c r="O59" s="9">
        <f>[1]RESUMO!G68</f>
        <v>55761.840000000004</v>
      </c>
      <c r="P59" s="9">
        <f>[1]RESUMO!H68</f>
        <v>50192.45</v>
      </c>
      <c r="Q59" s="9">
        <f>[1]RESUMO!I68</f>
        <v>7314.9399999999978</v>
      </c>
      <c r="R59" s="2">
        <f>[1]RESUMO!J68</f>
        <v>113269.22999999998</v>
      </c>
      <c r="AG59" s="4"/>
    </row>
    <row r="60" spans="13:38" x14ac:dyDescent="0.3">
      <c r="M60" s="5">
        <f>[1]RESUMO!E69</f>
        <v>46388</v>
      </c>
      <c r="N60" s="9">
        <f>[1]RESUMO!F69</f>
        <v>0</v>
      </c>
      <c r="O60" s="9">
        <f>[1]RESUMO!G69</f>
        <v>287576</v>
      </c>
      <c r="P60" s="9">
        <f>[1]RESUMO!H69</f>
        <v>105433.04000000001</v>
      </c>
      <c r="Q60" s="9">
        <f>[1]RESUMO!I69</f>
        <v>0</v>
      </c>
      <c r="R60" s="2">
        <f>[1]RESUMO!J69</f>
        <v>393009.04</v>
      </c>
      <c r="AG60" s="4"/>
    </row>
    <row r="61" spans="13:38" x14ac:dyDescent="0.3">
      <c r="M61" s="5">
        <f>[1]RESUMO!E70</f>
        <v>46419</v>
      </c>
      <c r="N61" s="9">
        <f>[1]RESUMO!F70</f>
        <v>0</v>
      </c>
      <c r="O61" s="9">
        <f>[1]RESUMO!G70</f>
        <v>1226</v>
      </c>
      <c r="P61" s="9">
        <f>[1]RESUMO!H70</f>
        <v>100509.37999999999</v>
      </c>
      <c r="Q61" s="9">
        <f>[1]RESUMO!I70</f>
        <v>0</v>
      </c>
      <c r="R61" s="2">
        <f>[1]RESUMO!J70</f>
        <v>101735.37999999999</v>
      </c>
      <c r="AG61" s="4"/>
    </row>
    <row r="62" spans="13:38" x14ac:dyDescent="0.3">
      <c r="M62" s="5">
        <f>[1]RESUMO!E71</f>
        <v>46447</v>
      </c>
      <c r="N62" s="9">
        <f>[1]RESUMO!F71</f>
        <v>0</v>
      </c>
      <c r="O62" s="9">
        <f>[1]RESUMO!G71</f>
        <v>1226</v>
      </c>
      <c r="P62" s="9">
        <f>[1]RESUMO!H71</f>
        <v>188686.06999999995</v>
      </c>
      <c r="Q62" s="9">
        <f>[1]RESUMO!I71</f>
        <v>0</v>
      </c>
      <c r="R62" s="2">
        <f>[1]RESUMO!J71</f>
        <v>189912.06999999995</v>
      </c>
    </row>
    <row r="63" spans="13:38" x14ac:dyDescent="0.3">
      <c r="M63" s="5">
        <f>[1]RESUMO!E72</f>
        <v>46478</v>
      </c>
      <c r="N63" s="9">
        <f>[1]RESUMO!F72</f>
        <v>0</v>
      </c>
      <c r="O63" s="9">
        <f>[1]RESUMO!G72</f>
        <v>1226</v>
      </c>
      <c r="P63" s="9">
        <f>[1]RESUMO!H72</f>
        <v>17596.689999999999</v>
      </c>
      <c r="Q63" s="9">
        <f>[1]RESUMO!I72</f>
        <v>0</v>
      </c>
      <c r="R63" s="2">
        <f>[1]RESUMO!J72</f>
        <v>18822.689999999999</v>
      </c>
    </row>
    <row r="64" spans="13:38" x14ac:dyDescent="0.3">
      <c r="M64" s="5"/>
      <c r="N64" s="9"/>
      <c r="O64" s="9"/>
      <c r="P64" s="9"/>
      <c r="Q64" s="9"/>
      <c r="R64" s="2"/>
    </row>
    <row r="65" spans="13:18" x14ac:dyDescent="0.3">
      <c r="M65" s="5"/>
      <c r="N65" s="9"/>
      <c r="O65" s="9"/>
      <c r="P65" s="9"/>
      <c r="Q65" s="9"/>
      <c r="R65" s="2"/>
    </row>
    <row r="66" spans="13:18" x14ac:dyDescent="0.3">
      <c r="M66" s="5"/>
      <c r="N66" s="9"/>
      <c r="O66" s="9"/>
      <c r="P66" s="9"/>
      <c r="Q66" s="9"/>
      <c r="R66" s="2"/>
    </row>
    <row r="67" spans="13:18" x14ac:dyDescent="0.3">
      <c r="M67" s="5"/>
      <c r="N67" s="9"/>
      <c r="O67" s="9"/>
      <c r="P67" s="9"/>
      <c r="Q67" s="9"/>
      <c r="R67" s="2"/>
    </row>
    <row r="68" spans="13:18" x14ac:dyDescent="0.3">
      <c r="M68" s="5"/>
      <c r="N68" s="9"/>
      <c r="O68" s="9"/>
      <c r="P68" s="9"/>
      <c r="Q68" s="9"/>
      <c r="R68" s="2"/>
    </row>
    <row r="69" spans="13:18" x14ac:dyDescent="0.3">
      <c r="M69" s="5"/>
      <c r="N69" s="9"/>
      <c r="O69" s="9"/>
      <c r="P69" s="9"/>
      <c r="Q69" s="9"/>
      <c r="R69" s="2"/>
    </row>
    <row r="70" spans="13:18" x14ac:dyDescent="0.3">
      <c r="M70" s="5"/>
      <c r="N70" s="9"/>
      <c r="O70" s="9"/>
      <c r="P70" s="9"/>
      <c r="Q70" s="9"/>
      <c r="R70" s="2"/>
    </row>
    <row r="71" spans="13:18" x14ac:dyDescent="0.3">
      <c r="M71" s="5"/>
      <c r="N71" s="9"/>
      <c r="O71" s="9"/>
      <c r="P71" s="9"/>
      <c r="Q71" s="9"/>
      <c r="R71" s="2"/>
    </row>
    <row r="72" spans="13:18" x14ac:dyDescent="0.3">
      <c r="M72" s="5"/>
      <c r="N72" s="9"/>
      <c r="O72" s="9"/>
      <c r="P72" s="9"/>
      <c r="Q72" s="9"/>
      <c r="R72" s="2"/>
    </row>
    <row r="73" spans="13:18" x14ac:dyDescent="0.3">
      <c r="M73" s="5"/>
      <c r="N73" s="9"/>
      <c r="O73" s="9"/>
      <c r="P73" s="9"/>
      <c r="Q73" s="9"/>
      <c r="R73" s="2"/>
    </row>
    <row r="74" spans="13:18" x14ac:dyDescent="0.3">
      <c r="M74" s="5"/>
      <c r="N74" s="9"/>
      <c r="O74" s="9"/>
      <c r="P74" s="9"/>
      <c r="Q74" s="9"/>
      <c r="R74" s="2"/>
    </row>
    <row r="75" spans="13:18" x14ac:dyDescent="0.3">
      <c r="M75" s="5"/>
      <c r="N75" s="9"/>
      <c r="O75" s="9"/>
      <c r="P75" s="9"/>
      <c r="Q75" s="9"/>
      <c r="R75" s="2"/>
    </row>
    <row r="76" spans="13:18" x14ac:dyDescent="0.3">
      <c r="M76" s="1"/>
      <c r="N76" s="2"/>
      <c r="O76" s="2"/>
      <c r="P76" s="2"/>
      <c r="Q76" s="2"/>
      <c r="R76" s="2"/>
    </row>
  </sheetData>
  <phoneticPr fontId="2" type="noConversion"/>
  <conditionalFormatting sqref="AI13:AI16">
    <cfRule type="expression" dxfId="67" priority="103">
      <formula>$B13=3</formula>
    </cfRule>
    <cfRule type="expression" dxfId="66" priority="102">
      <formula>$B13=2</formula>
    </cfRule>
    <cfRule type="expression" dxfId="65" priority="101">
      <formula>$B13=1</formula>
    </cfRule>
    <cfRule type="expression" dxfId="64" priority="104">
      <formula>$B13=4</formula>
    </cfRule>
  </conditionalFormatting>
  <conditionalFormatting sqref="AI16:AI17">
    <cfRule type="expression" dxfId="63" priority="97">
      <formula>$B16=1</formula>
    </cfRule>
    <cfRule type="expression" dxfId="62" priority="99">
      <formula>$B16=3</formula>
    </cfRule>
    <cfRule type="expression" dxfId="61" priority="98">
      <formula>$B16=2</formula>
    </cfRule>
    <cfRule type="expression" dxfId="60" priority="100">
      <formula>$B16=4</formula>
    </cfRule>
  </conditionalFormatting>
  <conditionalFormatting sqref="AI17:AI20">
    <cfRule type="expression" dxfId="59" priority="84">
      <formula>$B17=4</formula>
    </cfRule>
    <cfRule type="expression" dxfId="58" priority="83">
      <formula>$B17=3</formula>
    </cfRule>
    <cfRule type="expression" dxfId="57" priority="82">
      <formula>$B17=2</formula>
    </cfRule>
    <cfRule type="expression" dxfId="56" priority="81">
      <formula>$B17=1</formula>
    </cfRule>
  </conditionalFormatting>
  <conditionalFormatting sqref="AI25:AI26">
    <cfRule type="expression" dxfId="55" priority="76">
      <formula>$B25=4</formula>
    </cfRule>
    <cfRule type="expression" dxfId="54" priority="74">
      <formula>$B25=2</formula>
    </cfRule>
    <cfRule type="expression" dxfId="53" priority="73">
      <formula>$B25=1</formula>
    </cfRule>
    <cfRule type="expression" dxfId="52" priority="72">
      <formula>$B25=4</formula>
    </cfRule>
    <cfRule type="expression" dxfId="51" priority="70">
      <formula>$B25=2</formula>
    </cfRule>
    <cfRule type="expression" dxfId="50" priority="75">
      <formula>$B25=3</formula>
    </cfRule>
    <cfRule type="expression" dxfId="49" priority="69">
      <formula>$B25=1</formula>
    </cfRule>
    <cfRule type="expression" dxfId="48" priority="71">
      <formula>$B25=3</formula>
    </cfRule>
  </conditionalFormatting>
  <conditionalFormatting sqref="AI27:AI29">
    <cfRule type="expression" dxfId="47" priority="61">
      <formula>$B26=1</formula>
    </cfRule>
    <cfRule type="expression" dxfId="46" priority="62">
      <formula>$B26=2</formula>
    </cfRule>
    <cfRule type="expression" dxfId="45" priority="63">
      <formula>$B26=3</formula>
    </cfRule>
    <cfRule type="expression" dxfId="44" priority="64">
      <formula>$B26=4</formula>
    </cfRule>
  </conditionalFormatting>
  <conditionalFormatting sqref="AI32:AI33">
    <cfRule type="expression" dxfId="43" priority="51">
      <formula>$B32=3</formula>
    </cfRule>
    <cfRule type="expression" dxfId="42" priority="49">
      <formula>$B32=1</formula>
    </cfRule>
    <cfRule type="expression" dxfId="41" priority="50">
      <formula>$B32=2</formula>
    </cfRule>
    <cfRule type="expression" dxfId="40" priority="52">
      <formula>$B32=4</formula>
    </cfRule>
  </conditionalFormatting>
  <conditionalFormatting sqref="AI39">
    <cfRule type="expression" dxfId="39" priority="44">
      <formula>$B38=4</formula>
    </cfRule>
    <cfRule type="expression" dxfId="38" priority="43">
      <formula>$B38=3</formula>
    </cfRule>
    <cfRule type="expression" dxfId="37" priority="42">
      <formula>$B38=2</formula>
    </cfRule>
    <cfRule type="expression" dxfId="36" priority="41">
      <formula>$B38=1</formula>
    </cfRule>
  </conditionalFormatting>
  <conditionalFormatting sqref="AI40:AI41">
    <cfRule type="expression" dxfId="35" priority="31">
      <formula>$B40=3</formula>
    </cfRule>
    <cfRule type="expression" dxfId="34" priority="32">
      <formula>$B40=4</formula>
    </cfRule>
    <cfRule type="expression" dxfId="33" priority="30">
      <formula>$B40=2</formula>
    </cfRule>
    <cfRule type="expression" dxfId="32" priority="28">
      <formula>$B40=4</formula>
    </cfRule>
    <cfRule type="expression" dxfId="31" priority="27">
      <formula>$B40=3</formula>
    </cfRule>
    <cfRule type="expression" dxfId="30" priority="26">
      <formula>$B40=2</formula>
    </cfRule>
    <cfRule type="expression" dxfId="29" priority="25">
      <formula>$B40=1</formula>
    </cfRule>
    <cfRule type="expression" dxfId="28" priority="29">
      <formula>$B40=1</formula>
    </cfRule>
  </conditionalFormatting>
  <conditionalFormatting sqref="AI42:AI45">
    <cfRule type="expression" dxfId="27" priority="24">
      <formula>$B41=4</formula>
    </cfRule>
    <cfRule type="expression" dxfId="26" priority="23">
      <formula>$B41=3</formula>
    </cfRule>
    <cfRule type="expression" dxfId="25" priority="22">
      <formula>$B41=2</formula>
    </cfRule>
    <cfRule type="expression" dxfId="24" priority="21">
      <formula>$B41=1</formula>
    </cfRule>
  </conditionalFormatting>
  <conditionalFormatting sqref="AI46:AI57">
    <cfRule type="expression" dxfId="23" priority="15">
      <formula>$B46=3</formula>
    </cfRule>
    <cfRule type="expression" dxfId="22" priority="16">
      <formula>$B46=4</formula>
    </cfRule>
    <cfRule type="expression" dxfId="21" priority="14">
      <formula>$B46=2</formula>
    </cfRule>
    <cfRule type="expression" dxfId="20" priority="13">
      <formula>$B46=1</formula>
    </cfRule>
  </conditionalFormatting>
  <conditionalFormatting sqref="AI2:AK12">
    <cfRule type="expression" dxfId="19" priority="128">
      <formula>$B2=4</formula>
    </cfRule>
    <cfRule type="expression" dxfId="18" priority="125">
      <formula>$B2=1</formula>
    </cfRule>
    <cfRule type="expression" dxfId="17" priority="126">
      <formula>$B2=2</formula>
    </cfRule>
    <cfRule type="expression" dxfId="16" priority="127">
      <formula>$B2=3</formula>
    </cfRule>
  </conditionalFormatting>
  <conditionalFormatting sqref="AJ20:AJ24">
    <cfRule type="expression" dxfId="15" priority="77">
      <formula>$B20=1</formula>
    </cfRule>
    <cfRule type="expression" dxfId="14" priority="78">
      <formula>$B20=2</formula>
    </cfRule>
    <cfRule type="expression" dxfId="13" priority="79">
      <formula>$B20=3</formula>
    </cfRule>
    <cfRule type="expression" dxfId="12" priority="80">
      <formula>$B20=4</formula>
    </cfRule>
  </conditionalFormatting>
  <conditionalFormatting sqref="AJ29">
    <cfRule type="expression" dxfId="11" priority="59">
      <formula>$B28=3</formula>
    </cfRule>
    <cfRule type="expression" dxfId="10" priority="60">
      <formula>$B28=4</formula>
    </cfRule>
    <cfRule type="expression" dxfId="9" priority="58">
      <formula>$B28=2</formula>
    </cfRule>
    <cfRule type="expression" dxfId="8" priority="57">
      <formula>$B28=1</formula>
    </cfRule>
  </conditionalFormatting>
  <conditionalFormatting sqref="AJ30:AJ32">
    <cfRule type="expression" dxfId="7" priority="48">
      <formula>$B30=4</formula>
    </cfRule>
    <cfRule type="expression" dxfId="6" priority="46">
      <formula>$B30=2</formula>
    </cfRule>
    <cfRule type="expression" dxfId="5" priority="45">
      <formula>$B30=1</formula>
    </cfRule>
    <cfRule type="expression" dxfId="4" priority="47">
      <formula>$B30=3</formula>
    </cfRule>
  </conditionalFormatting>
  <conditionalFormatting sqref="AJ46:AJ49">
    <cfRule type="expression" dxfId="3" priority="5">
      <formula>$B46=1</formula>
    </cfRule>
    <cfRule type="expression" dxfId="2" priority="8">
      <formula>$B46=4</formula>
    </cfRule>
    <cfRule type="expression" dxfId="1" priority="7">
      <formula>$B46=3</formula>
    </cfRule>
    <cfRule type="expression" dxfId="0" priority="6">
      <formula>$B46=2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</dc:creator>
  <cp:lastModifiedBy>Ramon Soares</cp:lastModifiedBy>
  <dcterms:created xsi:type="dcterms:W3CDTF">2015-06-05T18:19:34Z</dcterms:created>
  <dcterms:modified xsi:type="dcterms:W3CDTF">2026-09-04T20:09:52Z</dcterms:modified>
</cp:coreProperties>
</file>